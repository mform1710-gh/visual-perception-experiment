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뜸부기\2025 0903 RollBack\"/>
    </mc:Choice>
  </mc:AlternateContent>
  <bookViews>
    <workbookView xWindow="-108" yWindow="-108" windowWidth="22176" windowHeight="13176"/>
  </bookViews>
  <sheets>
    <sheet name="2025111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3" l="1"/>
  <c r="O39" i="3" l="1"/>
  <c r="C26" i="3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15" i="3"/>
  <c r="C16" i="3"/>
  <c r="C17" i="3"/>
  <c r="C18" i="3"/>
  <c r="O37" i="3" s="1"/>
  <c r="C19" i="3"/>
  <c r="O38" i="3" s="1"/>
  <c r="C20" i="3"/>
  <c r="C21" i="3" s="1"/>
  <c r="C22" i="3" s="1"/>
  <c r="C14" i="3"/>
  <c r="O33" i="3" s="1"/>
  <c r="D27" i="3"/>
  <c r="O31" i="3"/>
  <c r="O32" i="3"/>
  <c r="O35" i="3"/>
  <c r="O36" i="3"/>
  <c r="O23" i="3"/>
  <c r="O24" i="3"/>
  <c r="O25" i="3"/>
  <c r="O26" i="3"/>
  <c r="O27" i="3"/>
  <c r="O28" i="3"/>
  <c r="O29" i="3"/>
  <c r="O30" i="3"/>
  <c r="O22" i="3"/>
  <c r="O21" i="3"/>
  <c r="C23" i="3" l="1"/>
  <c r="E22" i="3"/>
  <c r="O34" i="3"/>
  <c r="D30" i="3"/>
  <c r="D29" i="3"/>
  <c r="D28" i="3"/>
  <c r="D23" i="3"/>
  <c r="D22" i="3"/>
  <c r="O40" i="3"/>
  <c r="O14" i="3"/>
  <c r="P14" i="3" s="1"/>
  <c r="D21" i="3"/>
  <c r="D20" i="3"/>
  <c r="D19" i="3"/>
  <c r="D18" i="3"/>
  <c r="D17" i="3"/>
  <c r="D16" i="3"/>
  <c r="D15" i="3"/>
  <c r="Q14" i="3"/>
  <c r="D14" i="3"/>
  <c r="D13" i="3"/>
  <c r="D12" i="3"/>
  <c r="D11" i="3"/>
  <c r="D10" i="3"/>
  <c r="D9" i="3"/>
  <c r="D8" i="3"/>
  <c r="D7" i="3"/>
  <c r="D6" i="3"/>
  <c r="D5" i="3"/>
  <c r="D4" i="3"/>
  <c r="D3" i="3"/>
  <c r="C3" i="3"/>
  <c r="E3" i="3" s="1"/>
  <c r="E2" i="3"/>
  <c r="D2" i="3"/>
  <c r="L2" i="3" s="1"/>
  <c r="M2" i="3" s="1"/>
  <c r="F22" i="3" l="1"/>
  <c r="E23" i="3"/>
  <c r="F23" i="3" s="1"/>
  <c r="C24" i="3"/>
  <c r="D31" i="3"/>
  <c r="D24" i="3"/>
  <c r="L3" i="3"/>
  <c r="M3" i="3" s="1"/>
  <c r="F2" i="3"/>
  <c r="F3" i="3"/>
  <c r="F24" i="3" l="1"/>
  <c r="C25" i="3"/>
  <c r="E24" i="3"/>
  <c r="D32" i="3"/>
  <c r="D25" i="3"/>
  <c r="G2" i="3"/>
  <c r="J2" i="3" s="1"/>
  <c r="K2" i="3" s="1"/>
  <c r="G3" i="3" s="1"/>
  <c r="H3" i="3" s="1"/>
  <c r="J3" i="3" s="1"/>
  <c r="E25" i="3" l="1"/>
  <c r="F25" i="3" s="1"/>
  <c r="D33" i="3"/>
  <c r="D26" i="3"/>
  <c r="K3" i="3"/>
  <c r="E26" i="3" l="1"/>
  <c r="F26" i="3" s="1"/>
  <c r="D34" i="3"/>
  <c r="C4" i="3"/>
  <c r="E27" i="3" l="1"/>
  <c r="F27" i="3" s="1"/>
  <c r="D35" i="3"/>
  <c r="E4" i="3"/>
  <c r="F4" i="3" s="1"/>
  <c r="G4" i="3" s="1"/>
  <c r="E28" i="3" l="1"/>
  <c r="F28" i="3" s="1"/>
  <c r="D36" i="3"/>
  <c r="L4" i="3"/>
  <c r="M4" i="3" s="1"/>
  <c r="E29" i="3" l="1"/>
  <c r="F29" i="3" s="1"/>
  <c r="D37" i="3"/>
  <c r="H4" i="3"/>
  <c r="J4" i="3" s="1"/>
  <c r="E30" i="3" l="1"/>
  <c r="F30" i="3" s="1"/>
  <c r="D38" i="3"/>
  <c r="C5" i="3"/>
  <c r="E31" i="3" l="1"/>
  <c r="F31" i="3" s="1"/>
  <c r="D39" i="3"/>
  <c r="K4" i="3"/>
  <c r="E5" i="3"/>
  <c r="F5" i="3" s="1"/>
  <c r="E32" i="3" l="1"/>
  <c r="F32" i="3" s="1"/>
  <c r="D40" i="3"/>
  <c r="L5" i="3"/>
  <c r="M5" i="3" s="1"/>
  <c r="G5" i="3"/>
  <c r="E33" i="3" l="1"/>
  <c r="F33" i="3" s="1"/>
  <c r="H5" i="3"/>
  <c r="J5" i="3" s="1"/>
  <c r="C6" i="3" s="1"/>
  <c r="E6" i="3" s="1"/>
  <c r="F6" i="3" s="1"/>
  <c r="E34" i="3" l="1"/>
  <c r="F34" i="3" s="1"/>
  <c r="L6" i="3"/>
  <c r="M6" i="3" s="1"/>
  <c r="K5" i="3"/>
  <c r="G6" i="3" s="1"/>
  <c r="E35" i="3" l="1"/>
  <c r="F35" i="3" s="1"/>
  <c r="H6" i="3"/>
  <c r="J6" i="3" s="1"/>
  <c r="C7" i="3" s="1"/>
  <c r="E7" i="3" s="1"/>
  <c r="F7" i="3" s="1"/>
  <c r="E36" i="3" l="1"/>
  <c r="F36" i="3" s="1"/>
  <c r="K6" i="3"/>
  <c r="G7" i="3" s="1"/>
  <c r="L7" i="3"/>
  <c r="M7" i="3" s="1"/>
  <c r="E37" i="3" l="1"/>
  <c r="F37" i="3" s="1"/>
  <c r="H7" i="3"/>
  <c r="J7" i="3" s="1"/>
  <c r="C8" i="3" s="1"/>
  <c r="E38" i="3" l="1"/>
  <c r="F38" i="3" s="1"/>
  <c r="K7" i="3"/>
  <c r="E8" i="3"/>
  <c r="F8" i="3" s="1"/>
  <c r="E39" i="3" l="1"/>
  <c r="F39" i="3" s="1"/>
  <c r="L8" i="3"/>
  <c r="M8" i="3" s="1"/>
  <c r="G8" i="3"/>
  <c r="E40" i="3" l="1"/>
  <c r="F40" i="3" s="1"/>
  <c r="H8" i="3"/>
  <c r="J8" i="3" s="1"/>
  <c r="C9" i="3" s="1"/>
  <c r="K8" i="3" l="1"/>
  <c r="E9" i="3"/>
  <c r="F9" i="3" s="1"/>
  <c r="G9" i="3" l="1"/>
  <c r="L9" i="3"/>
  <c r="M9" i="3" l="1"/>
  <c r="H9" i="3" s="1"/>
  <c r="J9" i="3" l="1"/>
  <c r="C10" i="3" l="1"/>
  <c r="E10" i="3" s="1"/>
  <c r="F10" i="3" s="1"/>
  <c r="K9" i="3"/>
  <c r="G10" i="3" l="1"/>
  <c r="L10" i="3"/>
  <c r="M10" i="3" s="1"/>
  <c r="H10" i="3" l="1"/>
  <c r="J10" i="3" s="1"/>
  <c r="C11" i="3" l="1"/>
  <c r="E11" i="3" s="1"/>
  <c r="F11" i="3" s="1"/>
  <c r="K10" i="3"/>
  <c r="G11" i="3" l="1"/>
  <c r="L11" i="3"/>
  <c r="M11" i="3" s="1"/>
  <c r="H11" i="3" l="1"/>
  <c r="J11" i="3" s="1"/>
  <c r="C12" i="3" s="1"/>
  <c r="E12" i="3" s="1"/>
  <c r="F12" i="3" s="1"/>
  <c r="K11" i="3" l="1"/>
  <c r="G12" i="3" s="1"/>
  <c r="L12" i="3"/>
  <c r="M12" i="3" s="1"/>
  <c r="H12" i="3" l="1"/>
  <c r="J12" i="3" s="1"/>
  <c r="C13" i="3" s="1"/>
  <c r="K12" i="3" l="1"/>
  <c r="E13" i="3"/>
  <c r="F13" i="3" s="1"/>
  <c r="L13" i="3" l="1"/>
  <c r="M13" i="3" s="1"/>
  <c r="G13" i="3"/>
  <c r="H13" i="3" l="1"/>
  <c r="J13" i="3" s="1"/>
  <c r="E14" i="3" l="1"/>
  <c r="K13" i="3"/>
  <c r="F14" i="3" l="1"/>
  <c r="G14" i="3" s="1"/>
  <c r="L14" i="3"/>
  <c r="M14" i="3" l="1"/>
  <c r="H14" i="3" s="1"/>
  <c r="J14" i="3" l="1"/>
  <c r="K14" i="3" l="1"/>
  <c r="E15" i="3" l="1"/>
  <c r="F15" i="3" l="1"/>
  <c r="G15" i="3" s="1"/>
  <c r="L15" i="3"/>
  <c r="M15" i="3" s="1"/>
  <c r="H15" i="3" l="1"/>
  <c r="J15" i="3" s="1"/>
  <c r="E16" i="3" l="1"/>
  <c r="K15" i="3"/>
  <c r="F16" i="3" l="1"/>
  <c r="G16" i="3" s="1"/>
  <c r="L16" i="3"/>
  <c r="M16" i="3" s="1"/>
  <c r="H16" i="3" l="1"/>
  <c r="J16" i="3" s="1"/>
  <c r="E17" i="3" l="1"/>
  <c r="K16" i="3"/>
  <c r="F17" i="3" l="1"/>
  <c r="G17" i="3" s="1"/>
  <c r="L17" i="3"/>
  <c r="M17" i="3" s="1"/>
  <c r="H17" i="3" l="1"/>
  <c r="J17" i="3" s="1"/>
  <c r="E18" i="3" s="1"/>
  <c r="F18" i="3" l="1"/>
  <c r="K17" i="3"/>
  <c r="G18" i="3" s="1"/>
  <c r="L18" i="3"/>
  <c r="M18" i="3" s="1"/>
  <c r="H18" i="3" l="1"/>
  <c r="J18" i="3" s="1"/>
  <c r="E19" i="3" s="1"/>
  <c r="F19" i="3" l="1"/>
  <c r="K18" i="3"/>
  <c r="G19" i="3" s="1"/>
  <c r="L19" i="3"/>
  <c r="M19" i="3" s="1"/>
  <c r="H19" i="3" l="1"/>
  <c r="J19" i="3" s="1"/>
  <c r="K19" i="3" l="1"/>
  <c r="E20" i="3" l="1"/>
  <c r="F20" i="3" l="1"/>
  <c r="G20" i="3" s="1"/>
  <c r="L20" i="3"/>
  <c r="M20" i="3" s="1"/>
  <c r="H20" i="3" l="1"/>
  <c r="J20" i="3" s="1"/>
  <c r="K20" i="3" s="1"/>
  <c r="E21" i="3"/>
  <c r="L40" i="3" l="1"/>
  <c r="M40" i="3" s="1"/>
  <c r="L36" i="3"/>
  <c r="M36" i="3" s="1"/>
  <c r="L38" i="3"/>
  <c r="M38" i="3" s="1"/>
  <c r="L39" i="3"/>
  <c r="M39" i="3" s="1"/>
  <c r="L37" i="3"/>
  <c r="M37" i="3" s="1"/>
  <c r="F21" i="3"/>
  <c r="G21" i="3" s="1"/>
  <c r="L28" i="3"/>
  <c r="M28" i="3" s="1"/>
  <c r="L24" i="3"/>
  <c r="M24" i="3" s="1"/>
  <c r="L25" i="3"/>
  <c r="M25" i="3" s="1"/>
  <c r="L31" i="3"/>
  <c r="M31" i="3" s="1"/>
  <c r="L33" i="3"/>
  <c r="M33" i="3" s="1"/>
  <c r="L27" i="3"/>
  <c r="M27" i="3" s="1"/>
  <c r="L22" i="3"/>
  <c r="M22" i="3" s="1"/>
  <c r="L30" i="3"/>
  <c r="M30" i="3" s="1"/>
  <c r="L26" i="3"/>
  <c r="M26" i="3" s="1"/>
  <c r="L23" i="3"/>
  <c r="M23" i="3" s="1"/>
  <c r="L32" i="3"/>
  <c r="M32" i="3" s="1"/>
  <c r="L29" i="3"/>
  <c r="M29" i="3" s="1"/>
  <c r="L34" i="3"/>
  <c r="M34" i="3" s="1"/>
  <c r="L35" i="3"/>
  <c r="M35" i="3" s="1"/>
  <c r="L21" i="3"/>
  <c r="M21" i="3" s="1"/>
  <c r="H21" i="3" l="1"/>
  <c r="J21" i="3" s="1"/>
  <c r="K21" i="3" s="1"/>
  <c r="G22" i="3" s="1"/>
  <c r="H22" i="3" s="1"/>
  <c r="J22" i="3" s="1"/>
  <c r="K22" i="3" s="1"/>
  <c r="G23" i="3" s="1"/>
  <c r="H23" i="3" s="1"/>
  <c r="J23" i="3" s="1"/>
  <c r="K23" i="3" s="1"/>
  <c r="G24" i="3" s="1"/>
  <c r="H24" i="3" s="1"/>
  <c r="J24" i="3" s="1"/>
  <c r="K24" i="3" s="1"/>
  <c r="G25" i="3" s="1"/>
  <c r="J25" i="3" s="1"/>
  <c r="K25" i="3" s="1"/>
  <c r="G26" i="3" s="1"/>
  <c r="H26" i="3" s="1"/>
  <c r="J26" i="3" s="1"/>
  <c r="K26" i="3" s="1"/>
  <c r="G27" i="3" s="1"/>
  <c r="H27" i="3" s="1"/>
  <c r="J27" i="3" s="1"/>
  <c r="K27" i="3" s="1"/>
  <c r="G28" i="3" s="1"/>
  <c r="H28" i="3" s="1"/>
  <c r="J28" i="3" s="1"/>
  <c r="K28" i="3" s="1"/>
  <c r="G29" i="3" s="1"/>
  <c r="H29" i="3" s="1"/>
  <c r="J29" i="3" s="1"/>
  <c r="K29" i="3" s="1"/>
  <c r="G30" i="3" s="1"/>
  <c r="H30" i="3" s="1"/>
  <c r="J30" i="3" s="1"/>
  <c r="K30" i="3" s="1"/>
  <c r="G31" i="3" s="1"/>
  <c r="H31" i="3" s="1"/>
  <c r="J31" i="3" s="1"/>
  <c r="K31" i="3" s="1"/>
  <c r="G32" i="3" s="1"/>
  <c r="H32" i="3" s="1"/>
  <c r="J32" i="3" s="1"/>
  <c r="K32" i="3" s="1"/>
  <c r="G33" i="3" s="1"/>
  <c r="H33" i="3" s="1"/>
  <c r="J33" i="3" s="1"/>
  <c r="K33" i="3" s="1"/>
  <c r="G34" i="3" s="1"/>
  <c r="H34" i="3" s="1"/>
  <c r="J34" i="3" s="1"/>
  <c r="K34" i="3" s="1"/>
  <c r="G35" i="3" s="1"/>
  <c r="H35" i="3" s="1"/>
  <c r="J35" i="3" s="1"/>
  <c r="K35" i="3" s="1"/>
  <c r="G36" i="3" s="1"/>
  <c r="H36" i="3" s="1"/>
  <c r="J36" i="3" s="1"/>
  <c r="K36" i="3" s="1"/>
  <c r="G37" i="3" s="1"/>
  <c r="H37" i="3" s="1"/>
  <c r="J37" i="3" s="1"/>
  <c r="K37" i="3" s="1"/>
  <c r="G38" i="3" s="1"/>
  <c r="H38" i="3" s="1"/>
  <c r="J38" i="3" s="1"/>
  <c r="K38" i="3" s="1"/>
  <c r="G39" i="3" s="1"/>
  <c r="H39" i="3" s="1"/>
  <c r="J39" i="3" s="1"/>
  <c r="K39" i="3" s="1"/>
  <c r="G40" i="3" s="1"/>
  <c r="H40" i="3" s="1"/>
  <c r="J40" i="3" s="1"/>
  <c r="K40" i="3" s="1"/>
</calcChain>
</file>

<file path=xl/sharedStrings.xml><?xml version="1.0" encoding="utf-8"?>
<sst xmlns="http://schemas.openxmlformats.org/spreadsheetml/2006/main" count="32" uniqueCount="32">
  <si>
    <t>항목</t>
  </si>
  <si>
    <t>설명</t>
  </si>
  <si>
    <t>조건1 계약자 수</t>
  </si>
  <si>
    <t>조건2 계약자 수</t>
  </si>
  <si>
    <t>수익률 (운용)</t>
  </si>
  <si>
    <t>연도</t>
  </si>
  <si>
    <t>조건1 예치 총액</t>
  </si>
  <si>
    <t>조건2 예치 총액</t>
  </si>
  <si>
    <t>투자 운용 자산</t>
  </si>
  <si>
    <t>여유 자금</t>
  </si>
  <si>
    <t>주택구입후
여유자금</t>
    <phoneticPr fontId="2" type="noConversion"/>
  </si>
  <si>
    <t>누적 총 예치금/연</t>
    <phoneticPr fontId="2" type="noConversion"/>
  </si>
  <si>
    <t xml:space="preserve">조건1: </t>
    <phoneticPr fontId="2" type="noConversion"/>
  </si>
  <si>
    <t xml:space="preserve">조건2: </t>
    <phoneticPr fontId="2" type="noConversion"/>
  </si>
  <si>
    <t>만기 시 계약자에게 줄 돈:</t>
    <phoneticPr fontId="2" type="noConversion"/>
  </si>
  <si>
    <t>만기시 반환액</t>
    <phoneticPr fontId="2" type="noConversion"/>
  </si>
  <si>
    <t>투자 운용 자산-계약중도/만기해지
-관리비</t>
    <phoneticPr fontId="2" type="noConversion"/>
  </si>
  <si>
    <t>관리비(세대당)</t>
    <phoneticPr fontId="2" type="noConversion"/>
  </si>
  <si>
    <t>=FV(P6,P9,P3)</t>
    <phoneticPr fontId="2" type="noConversion"/>
  </si>
  <si>
    <t>수익률 (계약 반환,P6)</t>
    <phoneticPr fontId="2" type="noConversion"/>
  </si>
  <si>
    <t>총 기간(P9)</t>
    <phoneticPr fontId="2" type="noConversion"/>
  </si>
  <si>
    <t>연간 예치금(P3)</t>
    <phoneticPr fontId="2" type="noConversion"/>
  </si>
  <si>
    <t>조건2 추가예치금(P4)</t>
    <phoneticPr fontId="2" type="noConversion"/>
  </si>
  <si>
    <t>이에 더해 P4 × (1+P6%)^P9</t>
    <phoneticPr fontId="2" type="noConversion"/>
  </si>
  <si>
    <t>예치금 반환 비율 P8(중도해지)</t>
    <phoneticPr fontId="2" type="noConversion"/>
  </si>
  <si>
    <t>예비비 대상 비율 P7</t>
    <phoneticPr fontId="2" type="noConversion"/>
  </si>
  <si>
    <t>예비비
(계약자수×P7%)×
(인당총예치금×P8%)</t>
    <phoneticPr fontId="2" type="noConversion"/>
  </si>
  <si>
    <t>주택 1채 가격 P2</t>
    <phoneticPr fontId="2" type="noConversion"/>
  </si>
  <si>
    <t>주택 구입 수
(여유자금/ P2)</t>
    <phoneticPr fontId="2" type="noConversion"/>
  </si>
  <si>
    <t>계약 중도해지의 경우
(예비비 100% 가정)</t>
    <phoneticPr fontId="2" type="noConversion"/>
  </si>
  <si>
    <t>초기 여유자금</t>
    <phoneticPr fontId="2" type="noConversion"/>
  </si>
  <si>
    <t>놓친게 있다. 10% 해지분을 반환액에서 빼야해.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</si>
</sst>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);[Red]\(#,##0\)"/>
    <numFmt numFmtId="177" formatCode="0.00_);[Red]\(0.00\)"/>
    <numFmt numFmtId="178" formatCode="#,##0.000_);[Red]\(#,##0.000\)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0" fillId="0" borderId="0" xfId="0" applyNumberFormat="1" applyFill="1" applyAlignment="1">
      <alignment vertical="center" wrapText="1"/>
    </xf>
    <xf numFmtId="176" fontId="0" fillId="0" borderId="4" xfId="0" applyNumberFormat="1" applyBorder="1" applyAlignment="1">
      <alignment vertical="center" wrapText="1"/>
    </xf>
    <xf numFmtId="177" fontId="0" fillId="0" borderId="4" xfId="0" applyNumberFormat="1" applyBorder="1" applyAlignment="1">
      <alignment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176" fontId="0" fillId="0" borderId="5" xfId="0" applyNumberFormat="1" applyBorder="1" applyAlignment="1">
      <alignment horizontal="left" vertical="center"/>
    </xf>
    <xf numFmtId="176" fontId="0" fillId="0" borderId="6" xfId="0" applyNumberFormat="1" applyBorder="1" applyAlignment="1">
      <alignment horizontal="left" vertical="center"/>
    </xf>
    <xf numFmtId="176" fontId="1" fillId="0" borderId="7" xfId="0" applyNumberFormat="1" applyFont="1" applyBorder="1" applyAlignment="1">
      <alignment horizontal="left" vertical="center" indent="1"/>
    </xf>
    <xf numFmtId="176" fontId="1" fillId="0" borderId="8" xfId="0" applyNumberFormat="1" applyFont="1" applyBorder="1" applyAlignment="1">
      <alignment horizontal="left" vertical="center" indent="1"/>
    </xf>
    <xf numFmtId="176" fontId="0" fillId="0" borderId="10" xfId="0" applyNumberFormat="1" applyBorder="1" applyAlignment="1">
      <alignment horizontal="left" vertical="center" indent="1"/>
    </xf>
    <xf numFmtId="176" fontId="1" fillId="2" borderId="11" xfId="0" applyNumberFormat="1" applyFont="1" applyFill="1" applyBorder="1" applyAlignment="1">
      <alignment horizontal="left" vertical="center"/>
    </xf>
    <xf numFmtId="176" fontId="0" fillId="2" borderId="12" xfId="0" applyNumberFormat="1" applyFill="1" applyBorder="1" applyAlignment="1">
      <alignment horizontal="left" vertical="center"/>
    </xf>
    <xf numFmtId="176" fontId="0" fillId="0" borderId="6" xfId="0" applyNumberFormat="1" applyBorder="1">
      <alignment vertical="center"/>
    </xf>
    <xf numFmtId="176" fontId="0" fillId="0" borderId="9" xfId="0" quotePrefix="1" applyNumberFormat="1" applyBorder="1" applyAlignment="1">
      <alignment horizontal="left" vertical="center"/>
    </xf>
    <xf numFmtId="176" fontId="3" fillId="0" borderId="0" xfId="0" applyNumberFormat="1" applyFont="1" applyAlignment="1">
      <alignment vertical="center" wrapText="1"/>
    </xf>
    <xf numFmtId="176" fontId="1" fillId="2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vertical="center" wrapText="1"/>
    </xf>
    <xf numFmtId="176" fontId="0" fillId="3" borderId="3" xfId="0" applyNumberFormat="1" applyFill="1" applyBorder="1" applyAlignment="1">
      <alignment vertical="center" wrapText="1"/>
    </xf>
    <xf numFmtId="176" fontId="0" fillId="3" borderId="5" xfId="0" applyNumberFormat="1" applyFill="1" applyBorder="1">
      <alignment vertical="center"/>
    </xf>
    <xf numFmtId="176" fontId="0" fillId="3" borderId="13" xfId="0" applyNumberFormat="1" applyFill="1" applyBorder="1">
      <alignment vertical="center"/>
    </xf>
    <xf numFmtId="176" fontId="0" fillId="0" borderId="14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tabSelected="1" zoomScale="55" zoomScaleNormal="55" workbookViewId="0">
      <pane ySplit="1" topLeftCell="A2" activePane="bottomLeft" state="frozen"/>
      <selection pane="bottomLeft" activeCell="P26" sqref="P26"/>
    </sheetView>
  </sheetViews>
  <sheetFormatPr defaultRowHeight="24.6" customHeight="1" x14ac:dyDescent="0.4"/>
  <cols>
    <col min="1" max="3" width="6.796875" style="2" customWidth="1"/>
    <col min="4" max="4" width="14" style="2" customWidth="1"/>
    <col min="5" max="5" width="17.59765625" style="2" customWidth="1"/>
    <col min="6" max="6" width="18.19921875" style="2" customWidth="1"/>
    <col min="7" max="8" width="22.69921875" style="2" customWidth="1"/>
    <col min="9" max="9" width="15.3984375" style="2" customWidth="1"/>
    <col min="10" max="10" width="17.796875" style="2" customWidth="1"/>
    <col min="11" max="11" width="23.296875" style="2" customWidth="1"/>
    <col min="12" max="12" width="21.19921875" style="2" customWidth="1"/>
    <col min="13" max="13" width="20.59765625" style="2" customWidth="1"/>
    <col min="14" max="14" width="3.296875" style="2" customWidth="1"/>
    <col min="15" max="15" width="27.59765625" style="2" customWidth="1"/>
    <col min="16" max="16" width="16" style="2" customWidth="1"/>
    <col min="17" max="17" width="9.59765625" style="2" customWidth="1"/>
    <col min="18" max="16384" width="8.796875" style="2"/>
  </cols>
  <sheetData>
    <row r="1" spans="1:17" ht="57" customHeight="1" x14ac:dyDescent="0.4">
      <c r="A1" s="8" t="s">
        <v>5</v>
      </c>
      <c r="B1" s="23" t="s">
        <v>2</v>
      </c>
      <c r="C1" s="23" t="s">
        <v>3</v>
      </c>
      <c r="D1" s="8" t="s">
        <v>6</v>
      </c>
      <c r="E1" s="8" t="s">
        <v>7</v>
      </c>
      <c r="F1" s="8" t="s">
        <v>11</v>
      </c>
      <c r="G1" s="8" t="s">
        <v>8</v>
      </c>
      <c r="H1" s="8" t="s">
        <v>16</v>
      </c>
      <c r="I1" s="8" t="s">
        <v>28</v>
      </c>
      <c r="J1" s="8" t="s">
        <v>9</v>
      </c>
      <c r="K1" s="8" t="s">
        <v>10</v>
      </c>
      <c r="L1" s="8" t="s">
        <v>26</v>
      </c>
      <c r="M1" s="8" t="s">
        <v>29</v>
      </c>
      <c r="N1" s="1"/>
      <c r="O1" s="9" t="s">
        <v>0</v>
      </c>
      <c r="P1" s="10" t="s">
        <v>1</v>
      </c>
    </row>
    <row r="2" spans="1:17" ht="24.6" customHeight="1" x14ac:dyDescent="0.4">
      <c r="A2" s="3">
        <v>1</v>
      </c>
      <c r="B2" s="3">
        <v>2</v>
      </c>
      <c r="C2" s="21">
        <v>0</v>
      </c>
      <c r="D2" s="3">
        <f t="shared" ref="D2:D25" si="0">$P$3*B2</f>
        <v>48000000</v>
      </c>
      <c r="E2" s="3">
        <f>C2*$P$3+C2*$P$4</f>
        <v>0</v>
      </c>
      <c r="F2" s="3">
        <f>D2+E2</f>
        <v>48000000</v>
      </c>
      <c r="G2" s="3">
        <f>F2+P16</f>
        <v>1048000000</v>
      </c>
      <c r="H2" s="3"/>
      <c r="I2" s="4">
        <v>0</v>
      </c>
      <c r="J2" s="3">
        <f>G2-M2</f>
        <v>1043680000</v>
      </c>
      <c r="K2" s="5">
        <f t="shared" ref="K2:K3" si="1">J2-$P$2*I2</f>
        <v>1043680000</v>
      </c>
      <c r="L2" s="3">
        <f>B2*$P$7*D2/B2*$P$8+C2*$P$7*E2*$P$8</f>
        <v>4320000</v>
      </c>
      <c r="M2" s="2">
        <f>L2*1</f>
        <v>4320000</v>
      </c>
      <c r="O2" s="24" t="s">
        <v>27</v>
      </c>
      <c r="P2" s="6">
        <v>800000000</v>
      </c>
    </row>
    <row r="3" spans="1:17" ht="24.6" customHeight="1" x14ac:dyDescent="0.4">
      <c r="A3" s="3">
        <v>2</v>
      </c>
      <c r="B3" s="3">
        <v>2</v>
      </c>
      <c r="C3" s="3">
        <f>C2</f>
        <v>0</v>
      </c>
      <c r="D3" s="3">
        <f t="shared" si="0"/>
        <v>48000000</v>
      </c>
      <c r="E3" s="3">
        <f>C3*$P$3</f>
        <v>0</v>
      </c>
      <c r="F3" s="3">
        <f>D3+E3</f>
        <v>48000000</v>
      </c>
      <c r="G3" s="2">
        <f>K2*(1+P5)+F3</f>
        <v>1248232000</v>
      </c>
      <c r="H3" s="2">
        <f>G3-M3-$P$10*C3</f>
        <v>1239592000</v>
      </c>
      <c r="I3" s="3">
        <v>0</v>
      </c>
      <c r="J3" s="5">
        <f>H3</f>
        <v>1239592000</v>
      </c>
      <c r="K3" s="5">
        <f t="shared" si="1"/>
        <v>1239592000</v>
      </c>
      <c r="L3" s="3">
        <f>B3*$P$7*(SUM(D2:D3))/B3*$P$8+C3*$P$7*(SUM(E2:E3))*$P$8</f>
        <v>8640000</v>
      </c>
      <c r="M3" s="2">
        <f>L3*1</f>
        <v>8640000</v>
      </c>
      <c r="O3" s="24" t="s">
        <v>21</v>
      </c>
      <c r="P3" s="6">
        <v>24000000</v>
      </c>
    </row>
    <row r="4" spans="1:17" ht="24.6" customHeight="1" x14ac:dyDescent="0.4">
      <c r="A4" s="3">
        <v>3</v>
      </c>
      <c r="B4" s="3">
        <v>2</v>
      </c>
      <c r="C4" s="3">
        <f>C3+I3</f>
        <v>0</v>
      </c>
      <c r="D4" s="3">
        <f t="shared" si="0"/>
        <v>48000000</v>
      </c>
      <c r="E4" s="3">
        <f>C4*$P$3+I3*$P$4</f>
        <v>0</v>
      </c>
      <c r="F4" s="3">
        <f t="shared" ref="F4:F21" si="2">D4+E4</f>
        <v>48000000</v>
      </c>
      <c r="G4" s="2">
        <f>K3*(1+$P$5)+F4</f>
        <v>1473530800</v>
      </c>
      <c r="H4" s="2">
        <f>G4-M4-$P$10*C4</f>
        <v>1460570800</v>
      </c>
      <c r="I4" s="3">
        <v>0</v>
      </c>
      <c r="J4" s="5">
        <f t="shared" ref="J4:J21" si="3">H4</f>
        <v>1460570800</v>
      </c>
      <c r="K4" s="5">
        <f>J4-$P$2*I4</f>
        <v>1460570800</v>
      </c>
      <c r="L4" s="3">
        <f>B4*$P$7*(SUM(D2:D4))/B4*$P$8+C4*$P$7*(SUM(E2:E4))*$P$8</f>
        <v>12960000</v>
      </c>
      <c r="M4" s="2">
        <f t="shared" ref="M4:M21" si="4">L4*1</f>
        <v>12960000</v>
      </c>
      <c r="O4" s="24" t="s">
        <v>22</v>
      </c>
      <c r="P4" s="6">
        <v>300000000</v>
      </c>
    </row>
    <row r="5" spans="1:17" ht="24.6" customHeight="1" x14ac:dyDescent="0.4">
      <c r="A5" s="3">
        <v>4</v>
      </c>
      <c r="B5" s="3">
        <v>2</v>
      </c>
      <c r="C5" s="3">
        <f t="shared" ref="C5:C13" si="5">C4+I4</f>
        <v>0</v>
      </c>
      <c r="D5" s="3">
        <f t="shared" si="0"/>
        <v>48000000</v>
      </c>
      <c r="E5" s="3">
        <f t="shared" ref="E5:E7" si="6">C5*$P$3+I4*$P$4</f>
        <v>0</v>
      </c>
      <c r="F5" s="3">
        <f t="shared" si="2"/>
        <v>48000000</v>
      </c>
      <c r="G5" s="2">
        <f t="shared" ref="G5:G21" si="7">K4*(1+$P$5)+F5</f>
        <v>1727656419.9999998</v>
      </c>
      <c r="H5" s="2">
        <f t="shared" ref="H5:H19" si="8">G5-M5-$P$10*C5</f>
        <v>1710376419.9999998</v>
      </c>
      <c r="I5" s="3">
        <v>0</v>
      </c>
      <c r="J5" s="5">
        <f t="shared" si="3"/>
        <v>1710376419.9999998</v>
      </c>
      <c r="K5" s="5">
        <f>J5-$P$2*I5</f>
        <v>1710376419.9999998</v>
      </c>
      <c r="L5" s="3">
        <f>B5*$P$7*(SUM(D2:D5))/B5*$P$8+C5*$P$7*(SUM(E2:E5))*$P$8</f>
        <v>17280000</v>
      </c>
      <c r="M5" s="2">
        <f t="shared" si="4"/>
        <v>17280000</v>
      </c>
      <c r="O5" s="24" t="s">
        <v>4</v>
      </c>
      <c r="P5" s="7">
        <v>0.15</v>
      </c>
    </row>
    <row r="6" spans="1:17" ht="24.6" customHeight="1" x14ac:dyDescent="0.4">
      <c r="A6" s="3">
        <v>5</v>
      </c>
      <c r="B6" s="3">
        <v>2</v>
      </c>
      <c r="C6" s="3">
        <f t="shared" si="5"/>
        <v>0</v>
      </c>
      <c r="D6" s="3">
        <f t="shared" si="0"/>
        <v>48000000</v>
      </c>
      <c r="E6" s="3">
        <f t="shared" si="6"/>
        <v>0</v>
      </c>
      <c r="F6" s="3">
        <f t="shared" si="2"/>
        <v>48000000</v>
      </c>
      <c r="G6" s="2">
        <f t="shared" si="7"/>
        <v>2014932882.9999995</v>
      </c>
      <c r="H6" s="2">
        <f t="shared" si="8"/>
        <v>1993332882.9999995</v>
      </c>
      <c r="I6" s="3">
        <v>0</v>
      </c>
      <c r="J6" s="5">
        <f t="shared" si="3"/>
        <v>1993332882.9999995</v>
      </c>
      <c r="K6" s="5">
        <f>J6-$P$2*I6</f>
        <v>1993332882.9999995</v>
      </c>
      <c r="L6" s="3">
        <f>B6*$P$7*(SUM(D2:D6))/B6*$P$8+C6*$P$7*(SUM(E2:E6))*$P$8</f>
        <v>21600000</v>
      </c>
      <c r="M6" s="2">
        <f t="shared" si="4"/>
        <v>21600000</v>
      </c>
      <c r="O6" s="24" t="s">
        <v>19</v>
      </c>
      <c r="P6" s="7">
        <v>0.05</v>
      </c>
    </row>
    <row r="7" spans="1:17" ht="24.6" customHeight="1" x14ac:dyDescent="0.4">
      <c r="A7" s="3">
        <v>6</v>
      </c>
      <c r="B7" s="3">
        <v>2</v>
      </c>
      <c r="C7" s="3">
        <f t="shared" si="5"/>
        <v>0</v>
      </c>
      <c r="D7" s="3">
        <f t="shared" si="0"/>
        <v>48000000</v>
      </c>
      <c r="E7" s="3">
        <f t="shared" si="6"/>
        <v>0</v>
      </c>
      <c r="F7" s="3">
        <f t="shared" si="2"/>
        <v>48000000</v>
      </c>
      <c r="G7" s="2">
        <f>K6*(1+$P$5)+F7</f>
        <v>2340332815.4499993</v>
      </c>
      <c r="H7" s="2">
        <f>G7-M7-$P$10*C7</f>
        <v>2314412815.4499993</v>
      </c>
      <c r="I7" s="3">
        <v>0</v>
      </c>
      <c r="J7" s="5">
        <f t="shared" si="3"/>
        <v>2314412815.4499993</v>
      </c>
      <c r="K7" s="5">
        <f>J7-$P$2*I7</f>
        <v>2314412815.4499993</v>
      </c>
      <c r="L7" s="3">
        <f>B7*$P$7*(SUM(D2:D7))/B7*$P$8+C7*$P$7*(SUM(E2:E7))*$P$8</f>
        <v>25920000</v>
      </c>
      <c r="M7" s="2">
        <f t="shared" si="4"/>
        <v>25920000</v>
      </c>
      <c r="O7" s="24" t="s">
        <v>25</v>
      </c>
      <c r="P7" s="7">
        <v>0.1</v>
      </c>
    </row>
    <row r="8" spans="1:17" ht="24.6" customHeight="1" x14ac:dyDescent="0.4">
      <c r="A8" s="3">
        <v>7</v>
      </c>
      <c r="B8" s="3">
        <v>2</v>
      </c>
      <c r="C8" s="3">
        <f t="shared" si="5"/>
        <v>0</v>
      </c>
      <c r="D8" s="3">
        <f t="shared" si="0"/>
        <v>48000000</v>
      </c>
      <c r="E8" s="3">
        <f>C8*$P$3+C8*$P$4</f>
        <v>0</v>
      </c>
      <c r="F8" s="3">
        <f t="shared" si="2"/>
        <v>48000000</v>
      </c>
      <c r="G8" s="2">
        <f t="shared" si="7"/>
        <v>2709574737.767499</v>
      </c>
      <c r="H8" s="2">
        <f t="shared" si="8"/>
        <v>2679334737.767499</v>
      </c>
      <c r="I8" s="3">
        <v>1</v>
      </c>
      <c r="J8" s="5">
        <f>H8</f>
        <v>2679334737.767499</v>
      </c>
      <c r="K8" s="5">
        <f>J8-$P$2*I8</f>
        <v>1879334737.767499</v>
      </c>
      <c r="L8" s="3">
        <f>B8*$P$7*(SUM(D2:D8))/B8*$P$8+C8*$P$7*(SUM(E2:E8))*$P$8</f>
        <v>30240000</v>
      </c>
      <c r="M8" s="2">
        <f t="shared" si="4"/>
        <v>30240000</v>
      </c>
      <c r="O8" s="24" t="s">
        <v>24</v>
      </c>
      <c r="P8" s="7">
        <v>0.9</v>
      </c>
    </row>
    <row r="9" spans="1:17" ht="24.6" customHeight="1" x14ac:dyDescent="0.4">
      <c r="A9" s="3">
        <v>8</v>
      </c>
      <c r="B9" s="3">
        <v>2</v>
      </c>
      <c r="C9" s="3">
        <f t="shared" si="5"/>
        <v>1</v>
      </c>
      <c r="D9" s="3">
        <f t="shared" si="0"/>
        <v>48000000</v>
      </c>
      <c r="E9" s="3">
        <f>C9*$P$3+I8*$P$4</f>
        <v>324000000</v>
      </c>
      <c r="F9" s="3">
        <f t="shared" si="2"/>
        <v>372000000</v>
      </c>
      <c r="G9" s="2">
        <f t="shared" si="7"/>
        <v>2533234948.4326239</v>
      </c>
      <c r="H9" s="2">
        <f t="shared" si="8"/>
        <v>2465914948.4326239</v>
      </c>
      <c r="I9" s="3">
        <v>0</v>
      </c>
      <c r="J9" s="5">
        <f t="shared" si="3"/>
        <v>2465914948.4326239</v>
      </c>
      <c r="K9" s="5">
        <f t="shared" ref="K9:K21" si="9">J9-$P$2*I9</f>
        <v>2465914948.4326239</v>
      </c>
      <c r="L9" s="3">
        <f>B9*$P$7*(SUM(D2:D9))/B9*$P$8+C9*$P$7*(SUM(E2:E9))*$P$8</f>
        <v>63720000</v>
      </c>
      <c r="M9" s="2">
        <f t="shared" si="4"/>
        <v>63720000</v>
      </c>
      <c r="O9" s="24" t="s">
        <v>20</v>
      </c>
      <c r="P9" s="6">
        <v>20</v>
      </c>
    </row>
    <row r="10" spans="1:17" ht="24.6" customHeight="1" x14ac:dyDescent="0.4">
      <c r="A10" s="3">
        <v>9</v>
      </c>
      <c r="B10" s="3">
        <v>2</v>
      </c>
      <c r="C10" s="3">
        <f t="shared" si="5"/>
        <v>1</v>
      </c>
      <c r="D10" s="3">
        <f t="shared" si="0"/>
        <v>48000000</v>
      </c>
      <c r="E10" s="3">
        <f>C10*$P$3+I9*$P$4</f>
        <v>24000000</v>
      </c>
      <c r="F10" s="3">
        <f t="shared" si="2"/>
        <v>72000000</v>
      </c>
      <c r="G10" s="2">
        <f>K9*(1+$P$5)+F10</f>
        <v>2907802190.6975174</v>
      </c>
      <c r="H10" s="2">
        <f>G10-M10-$P$10*C10</f>
        <v>2834002190.6975174</v>
      </c>
      <c r="I10" s="3">
        <v>0</v>
      </c>
      <c r="J10" s="5">
        <f t="shared" si="3"/>
        <v>2834002190.6975174</v>
      </c>
      <c r="K10" s="5">
        <f t="shared" si="9"/>
        <v>2834002190.6975174</v>
      </c>
      <c r="L10" s="3">
        <f>B10*$P$7*(SUM(D2:D10))/B10*$P$8+C10*$P$7*(SUM(E2:E10))*$P$8</f>
        <v>70200000</v>
      </c>
      <c r="M10" s="2">
        <f t="shared" si="4"/>
        <v>70200000</v>
      </c>
      <c r="O10" s="25" t="s">
        <v>17</v>
      </c>
      <c r="P10" s="19">
        <v>3600000</v>
      </c>
    </row>
    <row r="11" spans="1:17" ht="24.6" customHeight="1" x14ac:dyDescent="0.4">
      <c r="A11" s="3">
        <v>10</v>
      </c>
      <c r="B11" s="3">
        <v>2</v>
      </c>
      <c r="C11" s="3">
        <f t="shared" si="5"/>
        <v>1</v>
      </c>
      <c r="D11" s="3">
        <f t="shared" si="0"/>
        <v>48000000</v>
      </c>
      <c r="E11" s="3">
        <f>C11*$P$3+I10*$P$4</f>
        <v>24000000</v>
      </c>
      <c r="F11" s="3">
        <f t="shared" si="2"/>
        <v>72000000</v>
      </c>
      <c r="G11" s="2">
        <f t="shared" si="7"/>
        <v>3331102519.3021445</v>
      </c>
      <c r="H11" s="2">
        <f t="shared" si="8"/>
        <v>3250822519.3021445</v>
      </c>
      <c r="I11" s="3">
        <v>0</v>
      </c>
      <c r="J11" s="5">
        <f t="shared" si="3"/>
        <v>3250822519.3021445</v>
      </c>
      <c r="K11" s="5">
        <f t="shared" si="9"/>
        <v>3250822519.3021445</v>
      </c>
      <c r="L11" s="3">
        <f>B11*$P$7*(SUM(D2:D11))/B11*$P$8+C11*$P$7*(SUM(E2:E11))*$P$8</f>
        <v>76680000</v>
      </c>
      <c r="M11" s="2">
        <f t="shared" si="4"/>
        <v>76680000</v>
      </c>
      <c r="O11" s="17" t="s">
        <v>14</v>
      </c>
      <c r="P11" s="18"/>
    </row>
    <row r="12" spans="1:17" ht="24.6" customHeight="1" x14ac:dyDescent="0.4">
      <c r="A12" s="3">
        <v>11</v>
      </c>
      <c r="B12" s="3">
        <v>2</v>
      </c>
      <c r="C12" s="3">
        <f t="shared" si="5"/>
        <v>1</v>
      </c>
      <c r="D12" s="3">
        <f t="shared" si="0"/>
        <v>48000000</v>
      </c>
      <c r="E12" s="3">
        <f t="shared" ref="E12:E14" si="10">C12*$P$3+I11*$P$4</f>
        <v>24000000</v>
      </c>
      <c r="F12" s="3">
        <f t="shared" si="2"/>
        <v>72000000</v>
      </c>
      <c r="G12" s="2">
        <f t="shared" si="7"/>
        <v>3810445897.1974659</v>
      </c>
      <c r="H12" s="2">
        <f>G12-M12-$P$10*C12</f>
        <v>3723685897.1974659</v>
      </c>
      <c r="I12" s="3">
        <v>0</v>
      </c>
      <c r="J12" s="5">
        <f t="shared" si="3"/>
        <v>3723685897.1974659</v>
      </c>
      <c r="K12" s="5">
        <f t="shared" si="9"/>
        <v>3723685897.1974659</v>
      </c>
      <c r="L12" s="3">
        <f>B12*$P$7*(SUM(D2:D12))/B12*$P$8+C12*$P$7*(SUM(E2:E12))*$P$8</f>
        <v>83160000</v>
      </c>
      <c r="M12" s="2">
        <f t="shared" si="4"/>
        <v>83160000</v>
      </c>
      <c r="O12" s="14" t="s">
        <v>12</v>
      </c>
      <c r="P12" s="15" t="s">
        <v>13</v>
      </c>
    </row>
    <row r="13" spans="1:17" ht="24.6" customHeight="1" x14ac:dyDescent="0.4">
      <c r="A13" s="3">
        <v>12</v>
      </c>
      <c r="B13" s="3">
        <v>2</v>
      </c>
      <c r="C13" s="3">
        <f t="shared" si="5"/>
        <v>1</v>
      </c>
      <c r="D13" s="3">
        <f t="shared" si="0"/>
        <v>48000000</v>
      </c>
      <c r="E13" s="3">
        <f t="shared" si="10"/>
        <v>24000000</v>
      </c>
      <c r="F13" s="3">
        <f t="shared" si="2"/>
        <v>72000000</v>
      </c>
      <c r="G13" s="2">
        <f t="shared" si="7"/>
        <v>4354238781.7770853</v>
      </c>
      <c r="H13" s="2">
        <f t="shared" si="8"/>
        <v>4260998781.7770853</v>
      </c>
      <c r="I13" s="3">
        <v>1</v>
      </c>
      <c r="J13" s="5">
        <f t="shared" si="3"/>
        <v>4260998781.7770853</v>
      </c>
      <c r="K13" s="5">
        <f t="shared" si="9"/>
        <v>3460998781.7770853</v>
      </c>
      <c r="L13" s="3">
        <f>B13*$P$7*(SUM(D2:D13))/B13*$P$8+C13*$P$7*(SUM(E2:E13))*$P$8</f>
        <v>89640000</v>
      </c>
      <c r="M13" s="2">
        <f t="shared" si="4"/>
        <v>89640000</v>
      </c>
      <c r="O13" s="20" t="s">
        <v>18</v>
      </c>
      <c r="P13" s="16" t="s">
        <v>23</v>
      </c>
    </row>
    <row r="14" spans="1:17" ht="24.6" customHeight="1" x14ac:dyDescent="0.4">
      <c r="A14" s="3">
        <v>13</v>
      </c>
      <c r="B14" s="3">
        <v>2</v>
      </c>
      <c r="C14" s="3">
        <f>C13+I13</f>
        <v>2</v>
      </c>
      <c r="D14" s="3">
        <f t="shared" si="0"/>
        <v>48000000</v>
      </c>
      <c r="E14" s="3">
        <f t="shared" si="10"/>
        <v>348000000</v>
      </c>
      <c r="F14" s="3">
        <f t="shared" si="2"/>
        <v>396000000</v>
      </c>
      <c r="G14" s="2">
        <f t="shared" si="7"/>
        <v>4376148599.0436478</v>
      </c>
      <c r="H14" s="2">
        <f t="shared" si="8"/>
        <v>4174548599.0436478</v>
      </c>
      <c r="I14" s="3">
        <v>0</v>
      </c>
      <c r="J14" s="5">
        <f t="shared" si="3"/>
        <v>4174548599.0436478</v>
      </c>
      <c r="K14" s="5">
        <f t="shared" si="9"/>
        <v>4174548599.0436478</v>
      </c>
      <c r="L14" s="3">
        <f>B14*$P$7*(SUM(D2:D14))/B14*$P$8+C14*$P$7*(SUM(E2:E14))*$P$8</f>
        <v>194400000</v>
      </c>
      <c r="M14" s="2">
        <f t="shared" si="4"/>
        <v>194400000</v>
      </c>
      <c r="O14" s="12">
        <f>FV(P6,P9,P3)</f>
        <v>-793582898.46932185</v>
      </c>
      <c r="P14" s="13">
        <f>O14-P4*Q14</f>
        <v>-1589572210.0126481</v>
      </c>
      <c r="Q14" s="11">
        <f>POWER((1+P6),P9)</f>
        <v>2.6532977051444209</v>
      </c>
    </row>
    <row r="15" spans="1:17" ht="24.6" customHeight="1" x14ac:dyDescent="0.4">
      <c r="A15" s="3">
        <v>14</v>
      </c>
      <c r="B15" s="3">
        <v>2</v>
      </c>
      <c r="C15" s="3">
        <f t="shared" ref="C15:C39" si="11">C14+I14</f>
        <v>2</v>
      </c>
      <c r="D15" s="3">
        <f t="shared" si="0"/>
        <v>48000000</v>
      </c>
      <c r="E15" s="3">
        <f>C15*$P$3+I14*$P$4</f>
        <v>48000000</v>
      </c>
      <c r="F15" s="3">
        <f t="shared" si="2"/>
        <v>96000000</v>
      </c>
      <c r="G15" s="2">
        <f t="shared" si="7"/>
        <v>4896730888.9001942</v>
      </c>
      <c r="H15" s="2">
        <f t="shared" si="8"/>
        <v>4682170888.9001942</v>
      </c>
      <c r="I15" s="3">
        <v>0</v>
      </c>
      <c r="J15" s="5">
        <f t="shared" si="3"/>
        <v>4682170888.9001942</v>
      </c>
      <c r="K15" s="5">
        <f t="shared" si="9"/>
        <v>4682170888.9001942</v>
      </c>
      <c r="L15" s="3">
        <f>B15*$P$7*(SUM(D2:D15))/B15*$P$8+C15*$P$7*(SUM(E2:E15))*$P$8</f>
        <v>207360000</v>
      </c>
      <c r="M15" s="2">
        <f t="shared" si="4"/>
        <v>207360000</v>
      </c>
    </row>
    <row r="16" spans="1:17" ht="24.6" customHeight="1" x14ac:dyDescent="0.4">
      <c r="A16" s="3">
        <v>15</v>
      </c>
      <c r="B16" s="3">
        <v>2</v>
      </c>
      <c r="C16" s="3">
        <f t="shared" si="11"/>
        <v>2</v>
      </c>
      <c r="D16" s="3">
        <f t="shared" si="0"/>
        <v>48000000</v>
      </c>
      <c r="E16" s="3">
        <f>C16*$P$3+I15*$P$4</f>
        <v>48000000</v>
      </c>
      <c r="F16" s="3">
        <f t="shared" si="2"/>
        <v>96000000</v>
      </c>
      <c r="G16" s="2">
        <f>K15*(1+$P$5)+F16</f>
        <v>5480496522.2352228</v>
      </c>
      <c r="H16" s="2">
        <f t="shared" si="8"/>
        <v>5252976522.2352228</v>
      </c>
      <c r="I16" s="3">
        <v>0</v>
      </c>
      <c r="J16" s="5">
        <f>H16</f>
        <v>5252976522.2352228</v>
      </c>
      <c r="K16" s="5">
        <f t="shared" si="9"/>
        <v>5252976522.2352228</v>
      </c>
      <c r="L16" s="3">
        <f>B16*$P$7*(SUM(D2:D16))/B16*$P$8+C16*$P$7*(SUM(E2:E16))*$P$8</f>
        <v>220320000</v>
      </c>
      <c r="M16" s="2">
        <f t="shared" si="4"/>
        <v>220320000</v>
      </c>
      <c r="O16" s="26" t="s">
        <v>30</v>
      </c>
      <c r="P16" s="27">
        <v>1000000000</v>
      </c>
    </row>
    <row r="17" spans="1:15" ht="24.6" customHeight="1" x14ac:dyDescent="0.4">
      <c r="A17" s="3">
        <v>16</v>
      </c>
      <c r="B17" s="3">
        <v>2</v>
      </c>
      <c r="C17" s="3">
        <f t="shared" si="11"/>
        <v>2</v>
      </c>
      <c r="D17" s="3">
        <f t="shared" si="0"/>
        <v>48000000</v>
      </c>
      <c r="E17" s="3">
        <f>C17*$P$3+I16*$P$4</f>
        <v>48000000</v>
      </c>
      <c r="F17" s="3">
        <f t="shared" si="2"/>
        <v>96000000</v>
      </c>
      <c r="G17" s="2">
        <f t="shared" si="7"/>
        <v>6136923000.5705061</v>
      </c>
      <c r="H17" s="2">
        <f>G17-M17-$P$10*C17</f>
        <v>5896443000.5705061</v>
      </c>
      <c r="I17" s="3">
        <v>0</v>
      </c>
      <c r="J17" s="5">
        <f t="shared" si="3"/>
        <v>5896443000.5705061</v>
      </c>
      <c r="K17" s="5">
        <f t="shared" si="9"/>
        <v>5896443000.5705061</v>
      </c>
      <c r="L17" s="3">
        <f>B17*$P$7*(SUM(D2:D17))/B17*$P$8+C17*$P$7*(SUM(E2:E17))*$P$8</f>
        <v>233280000</v>
      </c>
      <c r="M17" s="2">
        <f t="shared" si="4"/>
        <v>233280000</v>
      </c>
    </row>
    <row r="18" spans="1:15" ht="24.6" customHeight="1" x14ac:dyDescent="0.4">
      <c r="A18" s="3">
        <v>17</v>
      </c>
      <c r="B18" s="3">
        <v>2</v>
      </c>
      <c r="C18" s="3">
        <f t="shared" si="11"/>
        <v>2</v>
      </c>
      <c r="D18" s="3">
        <f t="shared" si="0"/>
        <v>48000000</v>
      </c>
      <c r="E18" s="3">
        <f>C18*$P$3+I17*$P$4</f>
        <v>48000000</v>
      </c>
      <c r="F18" s="3">
        <f t="shared" si="2"/>
        <v>96000000</v>
      </c>
      <c r="G18" s="2">
        <f t="shared" si="7"/>
        <v>6876909450.6560812</v>
      </c>
      <c r="H18" s="2">
        <f t="shared" si="8"/>
        <v>6623469450.6560812</v>
      </c>
      <c r="I18" s="3">
        <v>0</v>
      </c>
      <c r="J18" s="5">
        <f t="shared" si="3"/>
        <v>6623469450.6560812</v>
      </c>
      <c r="K18" s="5">
        <f t="shared" si="9"/>
        <v>6623469450.6560812</v>
      </c>
      <c r="L18" s="3">
        <f>B18*$P$7*(SUM(D2:D18))/B18*$P$8+C18*$P$7*(SUM(E2:E18))*$P$8</f>
        <v>246240000</v>
      </c>
      <c r="M18" s="2">
        <f t="shared" si="4"/>
        <v>246240000</v>
      </c>
      <c r="O18" s="2" t="s">
        <v>31</v>
      </c>
    </row>
    <row r="19" spans="1:15" ht="24.6" customHeight="1" x14ac:dyDescent="0.4">
      <c r="A19" s="3">
        <v>18</v>
      </c>
      <c r="B19" s="3">
        <v>2</v>
      </c>
      <c r="C19" s="3">
        <f t="shared" si="11"/>
        <v>2</v>
      </c>
      <c r="D19" s="3">
        <f t="shared" si="0"/>
        <v>48000000</v>
      </c>
      <c r="E19" s="3">
        <f t="shared" ref="E19:E25" si="12">C19*$P$3+I18*$P$4</f>
        <v>48000000</v>
      </c>
      <c r="F19" s="3">
        <f t="shared" si="2"/>
        <v>96000000</v>
      </c>
      <c r="G19" s="2">
        <f t="shared" si="7"/>
        <v>7712989868.2544928</v>
      </c>
      <c r="H19" s="2">
        <f t="shared" si="8"/>
        <v>7446589868.2544928</v>
      </c>
      <c r="I19" s="3">
        <v>1</v>
      </c>
      <c r="J19" s="5">
        <f t="shared" si="3"/>
        <v>7446589868.2544928</v>
      </c>
      <c r="K19" s="5">
        <f t="shared" si="9"/>
        <v>6646589868.2544928</v>
      </c>
      <c r="L19" s="3">
        <f>B19*$P$7*(SUM(D2:D19))/B19*$P$8+C19*$P$7*(SUM(E2:E19))*$P$8</f>
        <v>259200000</v>
      </c>
      <c r="M19" s="2">
        <f t="shared" si="4"/>
        <v>259200000</v>
      </c>
    </row>
    <row r="20" spans="1:15" ht="24.6" customHeight="1" x14ac:dyDescent="0.4">
      <c r="A20" s="3">
        <v>19</v>
      </c>
      <c r="B20" s="3">
        <v>3</v>
      </c>
      <c r="C20" s="3">
        <f t="shared" si="11"/>
        <v>3</v>
      </c>
      <c r="D20" s="3">
        <f t="shared" si="0"/>
        <v>72000000</v>
      </c>
      <c r="E20" s="3">
        <f t="shared" si="12"/>
        <v>372000000</v>
      </c>
      <c r="F20" s="3">
        <f t="shared" si="2"/>
        <v>444000000</v>
      </c>
      <c r="G20" s="2">
        <f t="shared" si="7"/>
        <v>8087578348.4926662</v>
      </c>
      <c r="H20" s="2">
        <f>G20-M20-$P$10*C20</f>
        <v>7619938348.4926662</v>
      </c>
      <c r="I20" s="3">
        <v>0</v>
      </c>
      <c r="J20" s="5">
        <f t="shared" si="3"/>
        <v>7619938348.4926662</v>
      </c>
      <c r="K20" s="5">
        <f t="shared" si="9"/>
        <v>7619938348.4926662</v>
      </c>
      <c r="L20" s="3">
        <f>B20*$P$7*(SUM(D2:D20))/B20*$P$8+C20*$P$7*(SUM(E2:E20))*$P$8</f>
        <v>456840000.00000006</v>
      </c>
      <c r="M20" s="2">
        <f t="shared" si="4"/>
        <v>456840000.00000006</v>
      </c>
      <c r="O20" s="22" t="s">
        <v>15</v>
      </c>
    </row>
    <row r="21" spans="1:15" ht="24.6" customHeight="1" x14ac:dyDescent="0.4">
      <c r="A21" s="3">
        <v>20</v>
      </c>
      <c r="B21" s="3">
        <v>3</v>
      </c>
      <c r="C21" s="3">
        <f t="shared" si="11"/>
        <v>3</v>
      </c>
      <c r="D21" s="3">
        <f t="shared" si="0"/>
        <v>72000000</v>
      </c>
      <c r="E21" s="3">
        <f t="shared" si="12"/>
        <v>72000000</v>
      </c>
      <c r="F21" s="3">
        <f t="shared" si="2"/>
        <v>144000000</v>
      </c>
      <c r="G21" s="2">
        <f t="shared" si="7"/>
        <v>8906929100.7665653</v>
      </c>
      <c r="H21" s="2">
        <f>G21-M21-$P$10*C21+O21</f>
        <v>6826203303.8279219</v>
      </c>
      <c r="I21" s="3">
        <v>0</v>
      </c>
      <c r="J21" s="5">
        <f t="shared" si="3"/>
        <v>6826203303.8279219</v>
      </c>
      <c r="K21" s="5">
        <f t="shared" si="9"/>
        <v>6826203303.8279219</v>
      </c>
      <c r="L21" s="3">
        <f>B21*$P$7*(SUM(D2:D21))/B21*$P$8+C21*$P$7*(SUM(E2:E21))*$P$8</f>
        <v>482760000.00000006</v>
      </c>
      <c r="M21" s="2">
        <f t="shared" si="4"/>
        <v>482760000.00000006</v>
      </c>
      <c r="O21" s="2">
        <f>$O$14*B2+$P$14*C2</f>
        <v>-1587165796.9386437</v>
      </c>
    </row>
    <row r="22" spans="1:15" ht="24.6" customHeight="1" x14ac:dyDescent="0.4">
      <c r="A22" s="3">
        <v>21</v>
      </c>
      <c r="B22" s="3">
        <v>3</v>
      </c>
      <c r="C22" s="3">
        <f t="shared" si="11"/>
        <v>3</v>
      </c>
      <c r="D22" s="3">
        <f t="shared" si="0"/>
        <v>72000000</v>
      </c>
      <c r="E22" s="3">
        <f t="shared" si="12"/>
        <v>72000000</v>
      </c>
      <c r="F22" s="3">
        <f t="shared" ref="F22" si="13">D22+E22</f>
        <v>144000000</v>
      </c>
      <c r="G22" s="2">
        <f t="shared" ref="G22" si="14">K21*(1+$P$5)+F22</f>
        <v>7994133799.4021091</v>
      </c>
      <c r="H22" s="2">
        <f>G22-M22-$P$10*C22+O22</f>
        <v>7478973799.4021091</v>
      </c>
      <c r="I22" s="3">
        <v>0</v>
      </c>
      <c r="J22" s="5">
        <f t="shared" ref="J22" si="15">H22</f>
        <v>7478973799.4021091</v>
      </c>
      <c r="K22" s="5">
        <f t="shared" ref="K22" si="16">J22-$P$2*I22</f>
        <v>7478973799.4021091</v>
      </c>
      <c r="L22" s="3">
        <f>B22*$P$7*(SUM(D3:D22))/B22*$P$8+C22*$P$7*(SUM(E3:E22))*$P$8</f>
        <v>504360000.00000006</v>
      </c>
      <c r="M22" s="2">
        <f t="shared" ref="M22" si="17">L22*1</f>
        <v>504360000.00000006</v>
      </c>
      <c r="O22" s="2">
        <f>$O$14*(B3-B2)+$P$14*(C3-C2)</f>
        <v>0</v>
      </c>
    </row>
    <row r="23" spans="1:15" ht="24.6" customHeight="1" x14ac:dyDescent="0.4">
      <c r="A23" s="3">
        <v>22</v>
      </c>
      <c r="B23" s="3">
        <v>3</v>
      </c>
      <c r="C23" s="3">
        <f t="shared" si="11"/>
        <v>3</v>
      </c>
      <c r="D23" s="3">
        <f t="shared" si="0"/>
        <v>72000000</v>
      </c>
      <c r="E23" s="3">
        <f t="shared" si="12"/>
        <v>72000000</v>
      </c>
      <c r="F23" s="3">
        <f t="shared" ref="F23:F25" si="18">D23+E23</f>
        <v>144000000</v>
      </c>
      <c r="G23" s="2">
        <f t="shared" ref="G23:G25" si="19">K22*(1+$P$5)+F23</f>
        <v>8744819869.3124256</v>
      </c>
      <c r="H23" s="2">
        <f t="shared" ref="H23:H24" si="20">G23-M23-$P$10*C23+O23</f>
        <v>8208059869.3124256</v>
      </c>
      <c r="I23" s="3">
        <v>0</v>
      </c>
      <c r="J23" s="5">
        <f t="shared" ref="J23:J25" si="21">H23</f>
        <v>8208059869.3124256</v>
      </c>
      <c r="K23" s="5">
        <f t="shared" ref="K23:K25" si="22">J23-$P$2*I23</f>
        <v>8208059869.3124256</v>
      </c>
      <c r="L23" s="3">
        <f t="shared" ref="L23:L25" si="23">B23*$P$7*(SUM(D4:D23))/B23*$P$8+C23*$P$7*(SUM(E4:E23))*$P$8</f>
        <v>525960000.00000006</v>
      </c>
      <c r="M23" s="2">
        <f t="shared" ref="M23:M25" si="24">L23*1</f>
        <v>525960000.00000006</v>
      </c>
      <c r="O23" s="2">
        <f t="shared" ref="O23:O40" si="25">$O$14*(B4-B3)+$P$14*(C4-C3)</f>
        <v>0</v>
      </c>
    </row>
    <row r="24" spans="1:15" ht="24.6" customHeight="1" x14ac:dyDescent="0.4">
      <c r="A24" s="3">
        <v>23</v>
      </c>
      <c r="B24" s="3">
        <v>3</v>
      </c>
      <c r="C24" s="3">
        <f t="shared" si="11"/>
        <v>3</v>
      </c>
      <c r="D24" s="3">
        <f t="shared" si="0"/>
        <v>72000000</v>
      </c>
      <c r="E24" s="3">
        <f t="shared" si="12"/>
        <v>72000000</v>
      </c>
      <c r="F24" s="3">
        <f t="shared" si="18"/>
        <v>144000000</v>
      </c>
      <c r="G24" s="2">
        <f t="shared" si="19"/>
        <v>9583268849.7092896</v>
      </c>
      <c r="H24" s="2">
        <f t="shared" si="20"/>
        <v>9024908849.7092896</v>
      </c>
      <c r="I24" s="3">
        <v>0</v>
      </c>
      <c r="J24" s="5">
        <f t="shared" si="21"/>
        <v>9024908849.7092896</v>
      </c>
      <c r="K24" s="5">
        <f t="shared" si="22"/>
        <v>9024908849.7092896</v>
      </c>
      <c r="L24" s="3">
        <f t="shared" si="23"/>
        <v>547560000.00000012</v>
      </c>
      <c r="M24" s="2">
        <f t="shared" si="24"/>
        <v>547560000.00000012</v>
      </c>
      <c r="O24" s="2">
        <f t="shared" si="25"/>
        <v>0</v>
      </c>
    </row>
    <row r="25" spans="1:15" ht="24.6" customHeight="1" x14ac:dyDescent="0.4">
      <c r="A25" s="3">
        <v>24</v>
      </c>
      <c r="B25" s="3">
        <v>3</v>
      </c>
      <c r="C25" s="3">
        <f t="shared" si="11"/>
        <v>3</v>
      </c>
      <c r="D25" s="3">
        <f t="shared" si="0"/>
        <v>72000000</v>
      </c>
      <c r="E25" s="3">
        <f t="shared" si="12"/>
        <v>72000000</v>
      </c>
      <c r="F25" s="3">
        <f t="shared" si="18"/>
        <v>144000000</v>
      </c>
      <c r="G25" s="2">
        <f t="shared" si="19"/>
        <v>10522645177.165682</v>
      </c>
      <c r="H25" s="2">
        <f>G25-M25-$P$10*C25+O25</f>
        <v>9942685177.1656818</v>
      </c>
      <c r="I25" s="3">
        <v>0</v>
      </c>
      <c r="J25" s="5">
        <f t="shared" si="21"/>
        <v>9942685177.1656818</v>
      </c>
      <c r="K25" s="5">
        <f t="shared" si="22"/>
        <v>9942685177.1656818</v>
      </c>
      <c r="L25" s="3">
        <f t="shared" si="23"/>
        <v>569160000.00000012</v>
      </c>
      <c r="M25" s="2">
        <f t="shared" si="24"/>
        <v>569160000.00000012</v>
      </c>
      <c r="O25" s="2">
        <f t="shared" si="25"/>
        <v>0</v>
      </c>
    </row>
    <row r="26" spans="1:15" ht="24.6" customHeight="1" x14ac:dyDescent="0.4">
      <c r="A26" s="3">
        <v>25</v>
      </c>
      <c r="B26" s="3">
        <v>3</v>
      </c>
      <c r="C26" s="3">
        <f t="shared" si="11"/>
        <v>3</v>
      </c>
      <c r="D26" s="3">
        <f t="shared" ref="D26:D29" si="26">$P$3*B26</f>
        <v>72000000</v>
      </c>
      <c r="E26" s="3">
        <f t="shared" ref="E26:E29" si="27">C26*$P$3+I25*$P$4</f>
        <v>72000000</v>
      </c>
      <c r="F26" s="3">
        <f t="shared" ref="F26:F29" si="28">D26+E26</f>
        <v>144000000</v>
      </c>
      <c r="G26" s="2">
        <f t="shared" ref="G26:G29" si="29">K25*(1+$P$5)+F26</f>
        <v>11578087953.740534</v>
      </c>
      <c r="H26" s="2">
        <f t="shared" ref="H26:H29" si="30">G26-M26-$P$10*C26+O26</f>
        <v>10976527953.740534</v>
      </c>
      <c r="I26" s="3">
        <v>0</v>
      </c>
      <c r="J26" s="5">
        <f t="shared" ref="J26:J29" si="31">H26</f>
        <v>10976527953.740534</v>
      </c>
      <c r="K26" s="5">
        <f t="shared" ref="K26:K29" si="32">J26-$P$2*I26</f>
        <v>10976527953.740534</v>
      </c>
      <c r="L26" s="3">
        <f t="shared" ref="L26:L29" si="33">B26*$P$7*(SUM(D7:D26))/B26*$P$8+C26*$P$7*(SUM(E7:E26))*$P$8</f>
        <v>590760000.00000012</v>
      </c>
      <c r="M26" s="2">
        <f t="shared" ref="M26:M29" si="34">L26*1</f>
        <v>590760000.00000012</v>
      </c>
      <c r="O26" s="2">
        <f t="shared" si="25"/>
        <v>0</v>
      </c>
    </row>
    <row r="27" spans="1:15" ht="24.6" customHeight="1" x14ac:dyDescent="0.4">
      <c r="A27" s="3">
        <v>26</v>
      </c>
      <c r="B27" s="3">
        <v>3</v>
      </c>
      <c r="C27" s="3">
        <f t="shared" si="11"/>
        <v>3</v>
      </c>
      <c r="D27" s="3">
        <f t="shared" si="26"/>
        <v>72000000</v>
      </c>
      <c r="E27" s="3">
        <f t="shared" si="27"/>
        <v>72000000</v>
      </c>
      <c r="F27" s="3">
        <f t="shared" si="28"/>
        <v>144000000</v>
      </c>
      <c r="G27" s="2">
        <f t="shared" si="29"/>
        <v>12767007146.801613</v>
      </c>
      <c r="H27" s="2">
        <f t="shared" si="30"/>
        <v>12143847146.801613</v>
      </c>
      <c r="I27" s="3">
        <v>0</v>
      </c>
      <c r="J27" s="5">
        <f t="shared" si="31"/>
        <v>12143847146.801613</v>
      </c>
      <c r="K27" s="5">
        <f t="shared" si="32"/>
        <v>12143847146.801613</v>
      </c>
      <c r="L27" s="3">
        <f t="shared" si="33"/>
        <v>612360000.00000012</v>
      </c>
      <c r="M27" s="2">
        <f t="shared" si="34"/>
        <v>612360000.00000012</v>
      </c>
      <c r="O27" s="2">
        <f t="shared" si="25"/>
        <v>0</v>
      </c>
    </row>
    <row r="28" spans="1:15" ht="24.6" customHeight="1" x14ac:dyDescent="0.4">
      <c r="A28" s="3">
        <v>27</v>
      </c>
      <c r="B28" s="3">
        <v>3</v>
      </c>
      <c r="C28" s="3">
        <f t="shared" si="11"/>
        <v>3</v>
      </c>
      <c r="D28" s="3">
        <f t="shared" si="26"/>
        <v>72000000</v>
      </c>
      <c r="E28" s="3">
        <f t="shared" si="27"/>
        <v>72000000</v>
      </c>
      <c r="F28" s="3">
        <f t="shared" si="28"/>
        <v>144000000</v>
      </c>
      <c r="G28" s="2">
        <f t="shared" si="29"/>
        <v>14109424218.821854</v>
      </c>
      <c r="H28" s="2">
        <f t="shared" si="30"/>
        <v>11875092008.809206</v>
      </c>
      <c r="I28" s="3">
        <v>0</v>
      </c>
      <c r="J28" s="5">
        <f t="shared" si="31"/>
        <v>11875092008.809206</v>
      </c>
      <c r="K28" s="5">
        <f t="shared" si="32"/>
        <v>11875092008.809206</v>
      </c>
      <c r="L28" s="3">
        <f t="shared" si="33"/>
        <v>633960000.00000012</v>
      </c>
      <c r="M28" s="2">
        <f t="shared" si="34"/>
        <v>633960000.00000012</v>
      </c>
      <c r="O28" s="2">
        <f t="shared" si="25"/>
        <v>-1589572210.0126481</v>
      </c>
    </row>
    <row r="29" spans="1:15" ht="24.6" customHeight="1" x14ac:dyDescent="0.4">
      <c r="A29" s="3">
        <v>28</v>
      </c>
      <c r="B29" s="3">
        <v>3</v>
      </c>
      <c r="C29" s="3">
        <f t="shared" si="11"/>
        <v>3</v>
      </c>
      <c r="D29" s="3">
        <f t="shared" si="26"/>
        <v>72000000</v>
      </c>
      <c r="E29" s="3">
        <f t="shared" si="27"/>
        <v>72000000</v>
      </c>
      <c r="F29" s="3">
        <f t="shared" si="28"/>
        <v>144000000</v>
      </c>
      <c r="G29" s="2">
        <f t="shared" si="29"/>
        <v>13800355810.130587</v>
      </c>
      <c r="H29" s="2">
        <f t="shared" si="30"/>
        <v>13221475810.130587</v>
      </c>
      <c r="I29" s="3">
        <v>0</v>
      </c>
      <c r="J29" s="5">
        <f t="shared" si="31"/>
        <v>13221475810.130587</v>
      </c>
      <c r="K29" s="5">
        <f t="shared" si="32"/>
        <v>13221475810.130587</v>
      </c>
      <c r="L29" s="3">
        <f t="shared" si="33"/>
        <v>568080000.00000012</v>
      </c>
      <c r="M29" s="2">
        <f t="shared" si="34"/>
        <v>568080000.00000012</v>
      </c>
      <c r="O29" s="2">
        <f t="shared" si="25"/>
        <v>0</v>
      </c>
    </row>
    <row r="30" spans="1:15" ht="24.6" customHeight="1" x14ac:dyDescent="0.4">
      <c r="A30" s="3">
        <v>29</v>
      </c>
      <c r="B30" s="3">
        <v>3</v>
      </c>
      <c r="C30" s="3">
        <f t="shared" si="11"/>
        <v>3</v>
      </c>
      <c r="D30" s="3">
        <f t="shared" ref="D30:D35" si="35">$P$3*B30</f>
        <v>72000000</v>
      </c>
      <c r="E30" s="3">
        <f t="shared" ref="E30:E35" si="36">C30*$P$3+I29*$P$4</f>
        <v>72000000</v>
      </c>
      <c r="F30" s="3">
        <f t="shared" ref="F30:F35" si="37">D30+E30</f>
        <v>144000000</v>
      </c>
      <c r="G30" s="2">
        <f t="shared" ref="G30:G35" si="38">K29*(1+$P$5)+F30</f>
        <v>15348697181.650173</v>
      </c>
      <c r="H30" s="2">
        <f t="shared" ref="H30:H35" si="39">G30-M30-$P$10*C30+O30</f>
        <v>14754697181.650173</v>
      </c>
      <c r="I30" s="3">
        <v>0</v>
      </c>
      <c r="J30" s="5">
        <f t="shared" ref="J30:J35" si="40">H30</f>
        <v>14754697181.650173</v>
      </c>
      <c r="K30" s="5">
        <f t="shared" ref="K30:K35" si="41">J30-$P$2*I30</f>
        <v>14754697181.650173</v>
      </c>
      <c r="L30" s="3">
        <f t="shared" ref="L30:L35" si="42">B30*$P$7*(SUM(D11:D30))/B30*$P$8+C30*$P$7*(SUM(E11:E30))*$P$8</f>
        <v>583200000.00000012</v>
      </c>
      <c r="M30" s="2">
        <f t="shared" ref="M30:M35" si="43">L30*1</f>
        <v>583200000.00000012</v>
      </c>
      <c r="O30" s="2">
        <f t="shared" si="25"/>
        <v>0</v>
      </c>
    </row>
    <row r="31" spans="1:15" ht="24.6" customHeight="1" x14ac:dyDescent="0.4">
      <c r="A31" s="3">
        <v>30</v>
      </c>
      <c r="B31" s="3">
        <v>3</v>
      </c>
      <c r="C31" s="3">
        <f t="shared" si="11"/>
        <v>3</v>
      </c>
      <c r="D31" s="3">
        <f t="shared" si="35"/>
        <v>72000000</v>
      </c>
      <c r="E31" s="3">
        <f t="shared" si="36"/>
        <v>72000000</v>
      </c>
      <c r="F31" s="3">
        <f t="shared" si="37"/>
        <v>144000000</v>
      </c>
      <c r="G31" s="2">
        <f t="shared" si="38"/>
        <v>17111901758.897697</v>
      </c>
      <c r="H31" s="2">
        <f t="shared" si="39"/>
        <v>16502781758.897697</v>
      </c>
      <c r="I31" s="3">
        <v>0</v>
      </c>
      <c r="J31" s="5">
        <f t="shared" si="40"/>
        <v>16502781758.897697</v>
      </c>
      <c r="K31" s="5">
        <f t="shared" si="41"/>
        <v>16502781758.897697</v>
      </c>
      <c r="L31" s="3">
        <f t="shared" si="42"/>
        <v>598320000.00000012</v>
      </c>
      <c r="M31" s="2">
        <f t="shared" si="43"/>
        <v>598320000.00000012</v>
      </c>
      <c r="O31" s="2">
        <f t="shared" si="25"/>
        <v>0</v>
      </c>
    </row>
    <row r="32" spans="1:15" ht="24.6" customHeight="1" x14ac:dyDescent="0.4">
      <c r="A32" s="3">
        <v>31</v>
      </c>
      <c r="B32" s="3">
        <v>3</v>
      </c>
      <c r="C32" s="3">
        <f t="shared" si="11"/>
        <v>3</v>
      </c>
      <c r="D32" s="3">
        <f t="shared" si="35"/>
        <v>72000000</v>
      </c>
      <c r="E32" s="3">
        <f t="shared" si="36"/>
        <v>72000000</v>
      </c>
      <c r="F32" s="3">
        <f t="shared" si="37"/>
        <v>144000000</v>
      </c>
      <c r="G32" s="2">
        <f t="shared" si="38"/>
        <v>19122199022.732349</v>
      </c>
      <c r="H32" s="2">
        <f t="shared" si="39"/>
        <v>18497959022.732349</v>
      </c>
      <c r="I32" s="3">
        <v>0</v>
      </c>
      <c r="J32" s="5">
        <f t="shared" si="40"/>
        <v>18497959022.732349</v>
      </c>
      <c r="K32" s="5">
        <f t="shared" si="41"/>
        <v>18497959022.732349</v>
      </c>
      <c r="L32" s="3">
        <f t="shared" si="42"/>
        <v>613440000.00000012</v>
      </c>
      <c r="M32" s="2">
        <f t="shared" si="43"/>
        <v>613440000.00000012</v>
      </c>
      <c r="O32" s="2">
        <f t="shared" si="25"/>
        <v>0</v>
      </c>
    </row>
    <row r="33" spans="1:15" ht="24.6" customHeight="1" x14ac:dyDescent="0.4">
      <c r="A33" s="3">
        <v>32</v>
      </c>
      <c r="B33" s="3">
        <v>3</v>
      </c>
      <c r="C33" s="3">
        <f t="shared" si="11"/>
        <v>3</v>
      </c>
      <c r="D33" s="3">
        <f t="shared" si="35"/>
        <v>72000000</v>
      </c>
      <c r="E33" s="3">
        <f t="shared" si="36"/>
        <v>72000000</v>
      </c>
      <c r="F33" s="3">
        <f t="shared" si="37"/>
        <v>144000000</v>
      </c>
      <c r="G33" s="2">
        <f t="shared" si="38"/>
        <v>21416652876.1422</v>
      </c>
      <c r="H33" s="2">
        <f t="shared" si="39"/>
        <v>19187720666.129551</v>
      </c>
      <c r="I33" s="3">
        <v>0</v>
      </c>
      <c r="J33" s="5">
        <f t="shared" si="40"/>
        <v>19187720666.129551</v>
      </c>
      <c r="K33" s="5">
        <f t="shared" si="41"/>
        <v>19187720666.129551</v>
      </c>
      <c r="L33" s="3">
        <f t="shared" si="42"/>
        <v>628560000.00000012</v>
      </c>
      <c r="M33" s="2">
        <f t="shared" si="43"/>
        <v>628560000.00000012</v>
      </c>
      <c r="O33" s="2">
        <f t="shared" si="25"/>
        <v>-1589572210.0126481</v>
      </c>
    </row>
    <row r="34" spans="1:15" ht="24.6" customHeight="1" x14ac:dyDescent="0.4">
      <c r="A34" s="3">
        <v>33</v>
      </c>
      <c r="B34" s="3">
        <v>3</v>
      </c>
      <c r="C34" s="3">
        <f t="shared" si="11"/>
        <v>3</v>
      </c>
      <c r="D34" s="3">
        <f t="shared" si="35"/>
        <v>72000000</v>
      </c>
      <c r="E34" s="3">
        <f t="shared" si="36"/>
        <v>72000000</v>
      </c>
      <c r="F34" s="3">
        <f t="shared" si="37"/>
        <v>144000000</v>
      </c>
      <c r="G34" s="2">
        <f t="shared" si="38"/>
        <v>22209878766.048981</v>
      </c>
      <c r="H34" s="2">
        <f t="shared" si="39"/>
        <v>21642878766.048981</v>
      </c>
      <c r="I34" s="3">
        <v>0</v>
      </c>
      <c r="J34" s="5">
        <f t="shared" si="40"/>
        <v>21642878766.048981</v>
      </c>
      <c r="K34" s="5">
        <f t="shared" si="41"/>
        <v>21642878766.048981</v>
      </c>
      <c r="L34" s="3">
        <f t="shared" si="42"/>
        <v>556200000.00000012</v>
      </c>
      <c r="M34" s="2">
        <f t="shared" si="43"/>
        <v>556200000.00000012</v>
      </c>
      <c r="O34" s="2">
        <f t="shared" si="25"/>
        <v>0</v>
      </c>
    </row>
    <row r="35" spans="1:15" ht="24.6" customHeight="1" x14ac:dyDescent="0.4">
      <c r="A35" s="3">
        <v>34</v>
      </c>
      <c r="B35" s="3">
        <v>3</v>
      </c>
      <c r="C35" s="3">
        <f t="shared" si="11"/>
        <v>3</v>
      </c>
      <c r="D35" s="3">
        <f t="shared" si="35"/>
        <v>72000000</v>
      </c>
      <c r="E35" s="3">
        <f t="shared" si="36"/>
        <v>72000000</v>
      </c>
      <c r="F35" s="3">
        <f t="shared" si="37"/>
        <v>144000000</v>
      </c>
      <c r="G35" s="2">
        <f t="shared" si="38"/>
        <v>25033310580.956326</v>
      </c>
      <c r="H35" s="2">
        <f t="shared" si="39"/>
        <v>24457670580.956326</v>
      </c>
      <c r="I35" s="3">
        <v>0</v>
      </c>
      <c r="J35" s="5">
        <f t="shared" si="40"/>
        <v>24457670580.956326</v>
      </c>
      <c r="K35" s="5">
        <f t="shared" si="41"/>
        <v>24457670580.956326</v>
      </c>
      <c r="L35" s="3">
        <f t="shared" si="42"/>
        <v>564840000.00000012</v>
      </c>
      <c r="M35" s="2">
        <f t="shared" si="43"/>
        <v>564840000.00000012</v>
      </c>
      <c r="O35" s="2">
        <f t="shared" si="25"/>
        <v>0</v>
      </c>
    </row>
    <row r="36" spans="1:15" ht="24.6" customHeight="1" x14ac:dyDescent="0.4">
      <c r="A36" s="3">
        <v>35</v>
      </c>
      <c r="B36" s="3">
        <v>3</v>
      </c>
      <c r="C36" s="3">
        <f t="shared" si="11"/>
        <v>3</v>
      </c>
      <c r="D36" s="3">
        <f t="shared" ref="D36:D40" si="44">$P$3*B36</f>
        <v>72000000</v>
      </c>
      <c r="E36" s="3">
        <f t="shared" ref="E36:E40" si="45">C36*$P$3+I35*$P$4</f>
        <v>72000000</v>
      </c>
      <c r="F36" s="3">
        <f t="shared" ref="F36:F40" si="46">D36+E36</f>
        <v>144000000</v>
      </c>
      <c r="G36" s="2">
        <f t="shared" ref="G36:G40" si="47">K35*(1+$P$5)+F36</f>
        <v>28270321168.099773</v>
      </c>
      <c r="H36" s="2">
        <f t="shared" ref="H36:H40" si="48">G36-M36-$P$10*C36+O36</f>
        <v>27686041168.099773</v>
      </c>
      <c r="I36" s="3">
        <v>0</v>
      </c>
      <c r="J36" s="5">
        <f t="shared" ref="J36:J40" si="49">H36</f>
        <v>27686041168.099773</v>
      </c>
      <c r="K36" s="5">
        <f t="shared" ref="K36:K40" si="50">J36-$P$2*I36</f>
        <v>27686041168.099773</v>
      </c>
      <c r="L36" s="3">
        <f t="shared" ref="L36:L40" si="51">B36*$P$7*(SUM(D17:D36))/B36*$P$8+C36*$P$7*(SUM(E17:E36))*$P$8</f>
        <v>573480000.00000012</v>
      </c>
      <c r="M36" s="2">
        <f t="shared" ref="M36:M40" si="52">L36*1</f>
        <v>573480000.00000012</v>
      </c>
      <c r="O36" s="2">
        <f t="shared" si="25"/>
        <v>0</v>
      </c>
    </row>
    <row r="37" spans="1:15" ht="24.6" customHeight="1" x14ac:dyDescent="0.4">
      <c r="A37" s="3">
        <v>36</v>
      </c>
      <c r="B37" s="3">
        <v>3</v>
      </c>
      <c r="C37" s="3">
        <f t="shared" si="11"/>
        <v>3</v>
      </c>
      <c r="D37" s="3">
        <f t="shared" si="44"/>
        <v>72000000</v>
      </c>
      <c r="E37" s="3">
        <f t="shared" si="45"/>
        <v>72000000</v>
      </c>
      <c r="F37" s="3">
        <f t="shared" si="46"/>
        <v>144000000</v>
      </c>
      <c r="G37" s="2">
        <f t="shared" si="47"/>
        <v>31982947343.314735</v>
      </c>
      <c r="H37" s="2">
        <f t="shared" si="48"/>
        <v>31390027343.314735</v>
      </c>
      <c r="I37" s="3">
        <v>0</v>
      </c>
      <c r="J37" s="5">
        <f t="shared" si="49"/>
        <v>31390027343.314735</v>
      </c>
      <c r="K37" s="5">
        <f t="shared" si="50"/>
        <v>31390027343.314735</v>
      </c>
      <c r="L37" s="3">
        <f t="shared" si="51"/>
        <v>582120000.00000012</v>
      </c>
      <c r="M37" s="2">
        <f t="shared" si="52"/>
        <v>582120000.00000012</v>
      </c>
      <c r="O37" s="2">
        <f t="shared" si="25"/>
        <v>0</v>
      </c>
    </row>
    <row r="38" spans="1:15" ht="24.6" customHeight="1" x14ac:dyDescent="0.4">
      <c r="A38" s="3">
        <v>37</v>
      </c>
      <c r="B38" s="3">
        <v>3</v>
      </c>
      <c r="C38" s="3">
        <f t="shared" si="11"/>
        <v>3</v>
      </c>
      <c r="D38" s="3">
        <f t="shared" si="44"/>
        <v>72000000</v>
      </c>
      <c r="E38" s="3">
        <f t="shared" si="45"/>
        <v>72000000</v>
      </c>
      <c r="F38" s="3">
        <f t="shared" si="46"/>
        <v>144000000</v>
      </c>
      <c r="G38" s="2">
        <f t="shared" si="47"/>
        <v>36242531444.811943</v>
      </c>
      <c r="H38" s="2">
        <f t="shared" si="48"/>
        <v>35640971444.811943</v>
      </c>
      <c r="I38" s="3">
        <v>0</v>
      </c>
      <c r="J38" s="5">
        <f t="shared" si="49"/>
        <v>35640971444.811943</v>
      </c>
      <c r="K38" s="5">
        <f t="shared" si="50"/>
        <v>35640971444.811943</v>
      </c>
      <c r="L38" s="3">
        <f t="shared" si="51"/>
        <v>590760000.00000012</v>
      </c>
      <c r="M38" s="2">
        <f t="shared" si="52"/>
        <v>590760000.00000012</v>
      </c>
      <c r="O38" s="2">
        <f t="shared" si="25"/>
        <v>0</v>
      </c>
    </row>
    <row r="39" spans="1:15" ht="24.6" customHeight="1" x14ac:dyDescent="0.4">
      <c r="A39" s="3">
        <v>38</v>
      </c>
      <c r="B39" s="3">
        <v>3</v>
      </c>
      <c r="C39" s="3">
        <f t="shared" si="11"/>
        <v>3</v>
      </c>
      <c r="D39" s="3">
        <f t="shared" si="44"/>
        <v>72000000</v>
      </c>
      <c r="E39" s="3">
        <f t="shared" si="45"/>
        <v>72000000</v>
      </c>
      <c r="F39" s="3">
        <f t="shared" si="46"/>
        <v>144000000</v>
      </c>
      <c r="G39" s="2">
        <f t="shared" si="47"/>
        <v>41131117161.53373</v>
      </c>
      <c r="H39" s="2">
        <f t="shared" si="48"/>
        <v>38137762053.051758</v>
      </c>
      <c r="I39" s="3">
        <v>0</v>
      </c>
      <c r="J39" s="5">
        <f t="shared" si="49"/>
        <v>38137762053.051758</v>
      </c>
      <c r="K39" s="5">
        <f t="shared" si="50"/>
        <v>38137762053.051758</v>
      </c>
      <c r="L39" s="3">
        <f t="shared" si="51"/>
        <v>599400000.00000012</v>
      </c>
      <c r="M39" s="2">
        <f t="shared" si="52"/>
        <v>599400000.00000012</v>
      </c>
      <c r="O39" s="2">
        <f>$O$14*(B20-B19)+$P$14*(C20-C19)</f>
        <v>-2383155108.4819698</v>
      </c>
    </row>
    <row r="40" spans="1:15" ht="24.6" customHeight="1" x14ac:dyDescent="0.4">
      <c r="A40" s="3">
        <v>39</v>
      </c>
      <c r="B40" s="3">
        <v>0</v>
      </c>
      <c r="C40" s="3">
        <v>0</v>
      </c>
      <c r="D40" s="3">
        <f t="shared" si="44"/>
        <v>0</v>
      </c>
      <c r="E40" s="3">
        <f t="shared" si="45"/>
        <v>0</v>
      </c>
      <c r="F40" s="3">
        <f t="shared" si="46"/>
        <v>0</v>
      </c>
      <c r="G40" s="2">
        <f t="shared" si="47"/>
        <v>43858426361.009521</v>
      </c>
      <c r="H40" s="2" t="e">
        <f t="shared" si="48"/>
        <v>#DIV/0!</v>
      </c>
      <c r="I40" s="3">
        <v>0</v>
      </c>
      <c r="J40" s="5" t="e">
        <f t="shared" si="49"/>
        <v>#DIV/0!</v>
      </c>
      <c r="K40" s="5" t="e">
        <f t="shared" si="50"/>
        <v>#DIV/0!</v>
      </c>
      <c r="L40" s="3" t="e">
        <f t="shared" si="51"/>
        <v>#DIV/0!</v>
      </c>
      <c r="M40" s="2" t="e">
        <f t="shared" si="52"/>
        <v>#DIV/0!</v>
      </c>
      <c r="O40" s="2">
        <f t="shared" si="25"/>
        <v>0</v>
      </c>
    </row>
    <row r="41" spans="1:15" ht="24.6" customHeight="1" x14ac:dyDescent="0.4">
      <c r="A41" s="3"/>
      <c r="B41" s="3"/>
      <c r="C41" s="3"/>
      <c r="D41" s="3"/>
      <c r="E41" s="3"/>
      <c r="F41" s="3"/>
      <c r="I41" s="3"/>
      <c r="J41" s="5"/>
      <c r="K41" s="5"/>
      <c r="L41" s="3"/>
    </row>
    <row r="42" spans="1:15" ht="24.6" customHeight="1" x14ac:dyDescent="0.4">
      <c r="A42" s="3"/>
      <c r="B42" s="3"/>
      <c r="C42" s="3"/>
      <c r="D42" s="3"/>
      <c r="E42" s="3"/>
      <c r="F42" s="3"/>
      <c r="I42" s="3"/>
      <c r="J42" s="5"/>
      <c r="K42" s="5"/>
      <c r="L42" s="3"/>
    </row>
    <row r="43" spans="1:15" ht="24.6" customHeight="1" x14ac:dyDescent="0.4">
      <c r="A43" s="3"/>
      <c r="B43" s="3"/>
      <c r="C43" s="3"/>
      <c r="D43" s="3"/>
      <c r="E43" s="3"/>
      <c r="F43" s="3"/>
      <c r="I43" s="3"/>
      <c r="J43" s="5"/>
      <c r="K43" s="5"/>
      <c r="L43" s="3"/>
    </row>
    <row r="44" spans="1:15" ht="24.6" customHeight="1" x14ac:dyDescent="0.4">
      <c r="A44" s="3"/>
      <c r="B44" s="3"/>
      <c r="C44" s="3"/>
      <c r="D44" s="3"/>
      <c r="E44" s="3"/>
      <c r="F44" s="3"/>
      <c r="I44" s="3"/>
      <c r="J44" s="5"/>
      <c r="K44" s="5"/>
      <c r="L44" s="3"/>
    </row>
    <row r="45" spans="1:15" ht="24.6" customHeight="1" x14ac:dyDescent="0.4">
      <c r="A45" s="3"/>
      <c r="B45" s="3"/>
      <c r="C45" s="3"/>
      <c r="D45" s="3"/>
      <c r="E45" s="3"/>
      <c r="F45" s="3"/>
      <c r="I45" s="3"/>
      <c r="J45" s="5"/>
      <c r="K45" s="5"/>
      <c r="L45" s="3"/>
    </row>
    <row r="46" spans="1:15" ht="24.6" customHeight="1" x14ac:dyDescent="0.4">
      <c r="A46" s="3"/>
      <c r="B46" s="3"/>
      <c r="C46" s="3"/>
      <c r="D46" s="3"/>
      <c r="E46" s="3"/>
      <c r="F46" s="3"/>
      <c r="I46" s="3"/>
      <c r="J46" s="5"/>
      <c r="K46" s="5"/>
      <c r="L46" s="3"/>
    </row>
    <row r="47" spans="1:15" ht="24.6" customHeight="1" x14ac:dyDescent="0.4">
      <c r="A47" s="3"/>
      <c r="B47" s="3"/>
      <c r="C47" s="3"/>
      <c r="D47" s="3"/>
      <c r="E47" s="3"/>
      <c r="F47" s="3"/>
      <c r="I47" s="3"/>
      <c r="J47" s="5"/>
      <c r="K47" s="5"/>
      <c r="L47" s="3"/>
    </row>
    <row r="48" spans="1:15" ht="24.6" customHeight="1" x14ac:dyDescent="0.4">
      <c r="A48" s="3"/>
      <c r="B48" s="3"/>
      <c r="C48" s="3"/>
      <c r="D48" s="3"/>
      <c r="E48" s="3"/>
      <c r="F48" s="3"/>
      <c r="I48" s="3"/>
      <c r="J48" s="5"/>
      <c r="K48" s="5"/>
      <c r="L48" s="3"/>
    </row>
    <row r="49" spans="1:12" ht="24.6" customHeight="1" x14ac:dyDescent="0.4">
      <c r="A49" s="3"/>
      <c r="B49" s="3"/>
      <c r="C49" s="3"/>
      <c r="D49" s="3"/>
      <c r="E49" s="3"/>
      <c r="F49" s="3"/>
      <c r="I49" s="3"/>
      <c r="J49" s="5"/>
      <c r="K49" s="5"/>
      <c r="L49" s="3"/>
    </row>
    <row r="50" spans="1:12" ht="24.6" customHeight="1" x14ac:dyDescent="0.4">
      <c r="A50" s="3"/>
      <c r="B50" s="3"/>
      <c r="C50" s="3"/>
      <c r="D50" s="3"/>
      <c r="E50" s="3"/>
      <c r="F50" s="3"/>
      <c r="I50" s="3"/>
      <c r="J50" s="5"/>
      <c r="K50" s="5"/>
      <c r="L50" s="3"/>
    </row>
    <row r="51" spans="1:12" ht="24.6" customHeight="1" x14ac:dyDescent="0.4">
      <c r="A51" s="3"/>
      <c r="B51" s="3"/>
      <c r="C51" s="3"/>
      <c r="D51" s="3"/>
      <c r="E51" s="3"/>
      <c r="F51" s="3"/>
      <c r="I51" s="3"/>
      <c r="J51" s="5"/>
      <c r="K51" s="5"/>
      <c r="L51" s="3"/>
    </row>
    <row r="52" spans="1:12" ht="24.6" customHeight="1" x14ac:dyDescent="0.4">
      <c r="A52" s="3"/>
      <c r="B52" s="3"/>
      <c r="C52" s="3"/>
      <c r="D52" s="3"/>
      <c r="E52" s="3"/>
      <c r="F52" s="3"/>
      <c r="I52" s="3"/>
      <c r="J52" s="5"/>
      <c r="K52" s="5"/>
      <c r="L52" s="3"/>
    </row>
    <row r="53" spans="1:12" ht="24.6" customHeight="1" x14ac:dyDescent="0.4">
      <c r="A53" s="3"/>
      <c r="B53" s="3"/>
      <c r="C53" s="3"/>
      <c r="D53" s="3"/>
      <c r="E53" s="3"/>
      <c r="F53" s="3"/>
      <c r="I53" s="3"/>
      <c r="J53" s="5"/>
      <c r="K53" s="5"/>
      <c r="L53" s="3"/>
    </row>
    <row r="54" spans="1:12" ht="24.6" customHeight="1" x14ac:dyDescent="0.4">
      <c r="A54" s="3"/>
      <c r="B54" s="3"/>
      <c r="C54" s="3"/>
      <c r="D54" s="3"/>
      <c r="E54" s="3"/>
      <c r="F54" s="3"/>
      <c r="I54" s="3"/>
      <c r="J54" s="5"/>
      <c r="K54" s="5"/>
      <c r="L54" s="3"/>
    </row>
    <row r="55" spans="1:12" ht="24.6" customHeight="1" x14ac:dyDescent="0.4">
      <c r="A55" s="3"/>
      <c r="B55" s="3"/>
      <c r="C55" s="3"/>
      <c r="D55" s="3"/>
      <c r="E55" s="3"/>
      <c r="F55" s="3"/>
      <c r="I55" s="3"/>
      <c r="J55" s="5"/>
      <c r="K55" s="5"/>
      <c r="L55" s="3"/>
    </row>
    <row r="56" spans="1:12" ht="24.6" customHeight="1" x14ac:dyDescent="0.4">
      <c r="A56" s="3"/>
      <c r="B56" s="3"/>
      <c r="C56" s="3"/>
      <c r="D56" s="3"/>
      <c r="E56" s="3"/>
      <c r="F56" s="3"/>
      <c r="I56" s="3"/>
      <c r="J56" s="5"/>
      <c r="K56" s="5"/>
      <c r="L56" s="3"/>
    </row>
    <row r="57" spans="1:12" ht="24.6" customHeight="1" x14ac:dyDescent="0.4">
      <c r="A57" s="3"/>
      <c r="B57" s="3"/>
      <c r="C57" s="3"/>
      <c r="D57" s="3"/>
      <c r="E57" s="3"/>
      <c r="F57" s="3"/>
      <c r="I57" s="3"/>
      <c r="J57" s="5"/>
      <c r="K57" s="5"/>
      <c r="L57" s="3"/>
    </row>
    <row r="58" spans="1:12" ht="24.6" customHeight="1" x14ac:dyDescent="0.4">
      <c r="A58" s="3"/>
      <c r="B58" s="3"/>
      <c r="C58" s="3"/>
      <c r="D58" s="3"/>
      <c r="E58" s="3"/>
      <c r="F58" s="3"/>
      <c r="I58" s="3"/>
      <c r="J58" s="5"/>
      <c r="K58" s="5"/>
      <c r="L58" s="3"/>
    </row>
    <row r="59" spans="1:12" ht="24.6" customHeight="1" x14ac:dyDescent="0.4">
      <c r="A59" s="3"/>
      <c r="B59" s="3"/>
      <c r="C59" s="3"/>
      <c r="D59" s="3"/>
      <c r="E59" s="3"/>
      <c r="F59" s="3"/>
      <c r="I59" s="3"/>
      <c r="J59" s="5"/>
      <c r="K59" s="5"/>
      <c r="L59" s="3"/>
    </row>
    <row r="60" spans="1:12" ht="24.6" customHeight="1" x14ac:dyDescent="0.4">
      <c r="A60" s="3"/>
      <c r="B60" s="3"/>
      <c r="C60" s="3"/>
      <c r="D60" s="3"/>
      <c r="E60" s="3"/>
      <c r="F60" s="3"/>
      <c r="I60" s="3"/>
      <c r="J60" s="5"/>
      <c r="K60" s="5"/>
      <c r="L60" s="3"/>
    </row>
    <row r="61" spans="1:12" ht="24.6" customHeight="1" x14ac:dyDescent="0.4">
      <c r="A61" s="3"/>
      <c r="B61" s="3"/>
      <c r="C61" s="3"/>
      <c r="D61" s="3"/>
      <c r="E61" s="3"/>
      <c r="F61" s="3"/>
      <c r="I61" s="3"/>
      <c r="J61" s="5"/>
      <c r="K61" s="5"/>
      <c r="L61" s="3"/>
    </row>
    <row r="62" spans="1:12" ht="24.6" customHeight="1" x14ac:dyDescent="0.4">
      <c r="A62" s="3"/>
      <c r="B62" s="3"/>
      <c r="C62" s="3"/>
      <c r="D62" s="3"/>
      <c r="E62" s="3"/>
      <c r="F62" s="3"/>
      <c r="I62" s="3"/>
      <c r="J62" s="5"/>
      <c r="K62" s="5"/>
      <c r="L62" s="3"/>
    </row>
    <row r="63" spans="1:12" ht="24.6" customHeight="1" x14ac:dyDescent="0.4">
      <c r="A63" s="3"/>
      <c r="B63" s="3"/>
      <c r="C63" s="3"/>
      <c r="D63" s="3"/>
      <c r="E63" s="3"/>
      <c r="F63" s="3"/>
      <c r="I63" s="3"/>
      <c r="J63" s="5"/>
      <c r="K63" s="5"/>
      <c r="L63" s="3"/>
    </row>
    <row r="64" spans="1:12" ht="24.6" customHeight="1" x14ac:dyDescent="0.4">
      <c r="A64" s="3"/>
      <c r="B64" s="3"/>
      <c r="C64" s="3"/>
      <c r="D64" s="3"/>
      <c r="E64" s="3"/>
      <c r="F64" s="3"/>
      <c r="I64" s="3"/>
      <c r="J64" s="5"/>
      <c r="K64" s="5"/>
      <c r="L64" s="3"/>
    </row>
    <row r="65" spans="1:12" ht="24.6" customHeight="1" x14ac:dyDescent="0.4">
      <c r="A65" s="3"/>
      <c r="B65" s="3"/>
      <c r="C65" s="3"/>
      <c r="D65" s="3"/>
      <c r="E65" s="3"/>
      <c r="F65" s="3"/>
      <c r="I65" s="3"/>
      <c r="J65" s="5"/>
      <c r="K65" s="5"/>
      <c r="L65" s="3"/>
    </row>
    <row r="66" spans="1:12" ht="24.6" customHeight="1" x14ac:dyDescent="0.4">
      <c r="A66" s="3"/>
      <c r="B66" s="3"/>
      <c r="C66" s="3"/>
      <c r="D66" s="3"/>
      <c r="E66" s="3"/>
      <c r="F66" s="3"/>
      <c r="I66" s="3"/>
      <c r="J66" s="5"/>
      <c r="K66" s="5"/>
      <c r="L66" s="3"/>
    </row>
    <row r="67" spans="1:12" ht="24.6" customHeight="1" x14ac:dyDescent="0.4">
      <c r="A67" s="3"/>
      <c r="B67" s="3"/>
      <c r="C67" s="3"/>
      <c r="D67" s="3"/>
      <c r="E67" s="3"/>
      <c r="F67" s="3"/>
      <c r="I67" s="3"/>
      <c r="J67" s="5"/>
      <c r="K67" s="5"/>
      <c r="L67" s="3"/>
    </row>
    <row r="68" spans="1:12" ht="24.6" customHeight="1" x14ac:dyDescent="0.4">
      <c r="A68" s="3"/>
      <c r="B68" s="3"/>
      <c r="C68" s="3"/>
      <c r="D68" s="3"/>
      <c r="E68" s="3"/>
      <c r="F68" s="3"/>
      <c r="I68" s="3"/>
      <c r="J68" s="5"/>
      <c r="K68" s="5"/>
      <c r="L68" s="3"/>
    </row>
    <row r="69" spans="1:12" ht="24.6" customHeight="1" x14ac:dyDescent="0.4">
      <c r="A69" s="3"/>
      <c r="B69" s="3"/>
      <c r="C69" s="3"/>
      <c r="D69" s="3"/>
      <c r="E69" s="3"/>
      <c r="F69" s="3"/>
      <c r="I69" s="3"/>
      <c r="J69" s="5"/>
      <c r="K69" s="5"/>
      <c r="L69" s="3"/>
    </row>
    <row r="70" spans="1:12" ht="24.6" customHeight="1" x14ac:dyDescent="0.4">
      <c r="A70" s="3"/>
      <c r="B70" s="3"/>
      <c r="C70" s="3"/>
      <c r="D70" s="3"/>
      <c r="E70" s="3"/>
      <c r="F70" s="3"/>
      <c r="I70" s="3"/>
      <c r="J70" s="5"/>
      <c r="K70" s="5"/>
      <c r="L70" s="3"/>
    </row>
    <row r="71" spans="1:12" ht="24.6" customHeight="1" x14ac:dyDescent="0.4">
      <c r="A71" s="3"/>
      <c r="B71" s="3"/>
      <c r="C71" s="3"/>
      <c r="D71" s="3"/>
      <c r="E71" s="3"/>
      <c r="F71" s="3"/>
      <c r="I71" s="3"/>
      <c r="J71" s="5"/>
      <c r="K71" s="5"/>
      <c r="L71" s="3"/>
    </row>
    <row r="72" spans="1:12" ht="24.6" customHeight="1" x14ac:dyDescent="0.4">
      <c r="A72" s="3"/>
      <c r="B72" s="3"/>
      <c r="C72" s="3"/>
      <c r="D72" s="3"/>
      <c r="E72" s="3"/>
      <c r="F72" s="3"/>
      <c r="I72" s="3"/>
      <c r="J72" s="5"/>
      <c r="K72" s="5"/>
      <c r="L72" s="3"/>
    </row>
    <row r="73" spans="1:12" ht="24.6" customHeight="1" x14ac:dyDescent="0.4">
      <c r="A73" s="3"/>
      <c r="B73" s="3"/>
      <c r="C73" s="3"/>
      <c r="D73" s="3"/>
      <c r="E73" s="3"/>
      <c r="F73" s="3"/>
      <c r="I73" s="3"/>
      <c r="J73" s="5"/>
      <c r="K73" s="5"/>
      <c r="L73" s="3"/>
    </row>
    <row r="74" spans="1:12" ht="24.6" customHeight="1" x14ac:dyDescent="0.4">
      <c r="A74" s="3"/>
      <c r="B74" s="3"/>
      <c r="C74" s="3"/>
      <c r="D74" s="3"/>
      <c r="E74" s="3"/>
      <c r="F74" s="3"/>
      <c r="I74" s="3"/>
      <c r="J74" s="5"/>
      <c r="K74" s="5"/>
      <c r="L74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20251110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Windows User</cp:lastModifiedBy>
  <dcterms:created xsi:type="dcterms:W3CDTF">2025-07-30T12:51:09Z</dcterms:created>
  <dcterms:modified xsi:type="dcterms:W3CDTF">2025-11-12T01:46:50Z</dcterms:modified>
  <cp:contentStatus/>
</cp:coreProperties>
</file>